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900" tabRatio="500" firstSheet="2" activeTab="5"/>
  </bookViews>
  <sheets>
    <sheet name="01_填写说明" sheetId="1" r:id="rId1"/>
    <sheet name="02_门店通用信息" sheetId="2" r:id="rId2"/>
    <sheet name="03_套餐填写表" sheetId="3" r:id="rId3"/>
    <sheet name="04_平台必填对照" sheetId="4" r:id="rId4"/>
    <sheet name="05_平台字段明细" sheetId="5" r:id="rId5"/>
    <sheet name="06_素材清单" sheetId="6" r:id="rId6"/>
    <sheet name="07_合规与话术" sheetId="7" r:id="rId7"/>
    <sheet name="08_发布进度" sheetId="8" r:id="rId8"/>
  </sheets>
  <definedNames>
    <definedName name="_xlnm._FilterDatabase" localSheetId="1" hidden="1">'02_门店通用信息'!$A$3:$G$55</definedName>
    <definedName name="_xlnm._FilterDatabase" localSheetId="2" hidden="1">'03_套餐填写表'!$A$3:$K$90</definedName>
    <definedName name="_xlnm._FilterDatabase" localSheetId="3" hidden="1">'04_平台必填对照'!$A$3:$I$72</definedName>
    <definedName name="_xlnm._FilterDatabase" localSheetId="5" hidden="1">'06_素材清单'!$A$3:$H$25</definedName>
    <definedName name="_xlnm._FilterDatabase" localSheetId="7" hidden="1">'08_发布进度'!$A$3:$J$24</definedName>
    <definedName name="_xlnm.Print_Titles" localSheetId="2">'03_套餐填写表'!$3:$3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<sst xmlns="http://schemas.openxmlformats.org/spreadsheetml/2006/main" count="2105" uniqueCount="1003">
  <si>
    <t>多平台商品上架字段总表 · 填写说明</t>
  </si>
  <si>
    <t>适用：汽车贴膜店（玻璃膜 / 隐形车衣 / 改色膜 / 内饰改装 / 音响隔音）。覆盖平台：美团·大众点评、抖音来客、快手本地生活、小红书、闲鱼、淘宝。</t>
  </si>
  <si>
    <t>工作表</t>
  </si>
  <si>
    <t>要做什么</t>
  </si>
  <si>
    <t>说明</t>
  </si>
  <si>
    <t>02_门店通用信息</t>
  </si>
  <si>
    <t>填一次，全平台复用</t>
  </si>
  <si>
    <t>门店主体、地址、电话、资质、结算账户、履约口径。这些在所有平台入驻时都会再问一遍，统一口径才不会反复被驳回。</t>
  </si>
  <si>
    <t>03_套餐填写表</t>
  </si>
  <si>
    <t>★核心：一个套餐一列，从上往下填</t>
  </si>
  <si>
    <t>80 个字段按 7 大类排好，E~J 六列对应六个套餐。黄色格子就是你要填的。</t>
  </si>
  <si>
    <t>04_平台必填对照</t>
  </si>
  <si>
    <t>查：这个字段哪个平台必须填</t>
  </si>
  <si>
    <t>字段 × 平台矩阵。绿色底=必填，白底=选填，“— ”=该平台没有这个字段。</t>
  </si>
  <si>
    <t>05_平台字段明细</t>
  </si>
  <si>
    <t>查：某个平台后台长什么样</t>
  </si>
  <si>
    <t>按平台分块，写清字段类型、可选值、字数/图片限制、易驳回点。上架时对着这一块填。</t>
  </si>
  <si>
    <t>06_素材清单</t>
  </si>
  <si>
    <t>勾：素材有没有、在哪</t>
  </si>
  <si>
    <t>拍什么、要几张、什么比例，一次拍全，后面六个平台都能用。</t>
  </si>
  <si>
    <t>07_合规与话术</t>
  </si>
  <si>
    <t>查：什么不能写、标题怎么写</t>
  </si>
  <si>
    <t>禁词、必须写清的规则、标题公式、私信首响话术。上架前过一遍。</t>
  </si>
  <si>
    <t>08_发布进度</t>
  </si>
  <si>
    <t>跟：每个平台每个套餐走到哪了</t>
  </si>
  <si>
    <t>含自动统计。被驳回的把原因填进去，改完再提交。</t>
  </si>
  <si>
    <t>颜色约定</t>
  </si>
  <si>
    <t>浅黄色格</t>
  </si>
  <si>
    <t>浅灰色格</t>
  </si>
  <si>
    <t>浅蓝色行</t>
  </si>
  <si>
    <t>分组标题/给马洁的表</t>
  </si>
  <si>
    <t>开工前先定这 3 条，能省掉一半返工</t>
  </si>
  <si>
    <t>1. 价格只有一套口径</t>
  </si>
  <si>
    <t>门市价必须真实可查（别为了显得便宜写 9980 现价 1999），团购价在各平台保持一致。平台之间差几块钱没关系，差几百会被用户截图对比。</t>
  </si>
  <si>
    <t>2. 规则要写在用户看得见的地方</t>
  </si>
  <si>
    <t>有效期、能不能用节假日、要不要预约、大车加不加价、退款怎么退 —— 这五条不写清，退款和差评基本都从这里来。写清楚了，抖音/快手审核也过得快。</t>
  </si>
  <si>
    <t>3. 图片一次拍全，六平台复用</t>
  </si>
  <si>
    <t>每个平台都要的：门头、环境、施工过程、前后对比。只有小红书要 3:4 竖图、抖音/快手要 9:16 视频、美团要 16:9 头图。按最严的规格拍，往下裁就行。</t>
  </si>
  <si>
    <t>03 表长这样（示例：只填了一个套餐）</t>
  </si>
  <si>
    <t>字段</t>
  </si>
  <si>
    <t>填写要求</t>
  </si>
  <si>
    <t>套餐2 隐形车衣·TPU主推</t>
  </si>
  <si>
    <t>套餐名称</t>
  </si>
  <si>
    <t>品牌+项目+规格+质保，30字内</t>
  </si>
  <si>
    <t>卡皮诺 隐形车衣 全车 5年质保</t>
  </si>
  <si>
    <t>团购价（元）</t>
  </si>
  <si>
    <t>实际成交价</t>
  </si>
  <si>
    <t>门市价（元）</t>
  </si>
  <si>
    <t>原价，必须真实</t>
  </si>
  <si>
    <t>质保年限</t>
  </si>
  <si>
    <t>3年/5年/10年</t>
  </si>
  <si>
    <t>5年</t>
  </si>
  <si>
    <t>施工时长（小时）</t>
  </si>
  <si>
    <t>含交车等待</t>
  </si>
  <si>
    <t>门店通用信息（填一次，六个平台复用）</t>
  </si>
  <si>
    <t>这一页的信息在每家平台入驻/门店认领时都会被问到。先在这里定好口径，后面照抄，避免“地址不一致被驳回”这类问题。</t>
  </si>
  <si>
    <t>分类</t>
  </si>
  <si>
    <t>必填</t>
  </si>
  <si>
    <t>填写要求 / 示例</t>
  </si>
  <si>
    <t>填写内容</t>
  </si>
  <si>
    <t>哪个平台要</t>
  </si>
  <si>
    <t>备注</t>
  </si>
  <si>
    <t>门店主体</t>
  </si>
  <si>
    <t>门店对外展示名</t>
  </si>
  <si>
    <t>与门头照一致，12 字以内更稳</t>
  </si>
  <si>
    <t>津豪汽车贴膜改装</t>
  </si>
  <si>
    <t>全部</t>
  </si>
  <si>
    <t>营业执照名称</t>
  </si>
  <si>
    <t>与执照完全一致，一个字都不能差</t>
  </si>
  <si>
    <t>天津市西青区聚鸿津豪汽车配件销售店（个体工商户）</t>
  </si>
  <si>
    <t>执照注册日 2016-12-14，2026-04-21 换发；经营范围仅「汽车配件、汽车用品批发兼零售」</t>
  </si>
  <si>
    <t>统一社会信用代码</t>
  </si>
  <si>
    <t>18 位</t>
  </si>
  <si>
    <t>92120103MA05M2BM7T</t>
  </si>
  <si>
    <t>主体类型</t>
  </si>
  <si>
    <t>个体工商户 / 有限公司</t>
  </si>
  <si>
    <t>个体工商户（个人经营）</t>
  </si>
  <si>
    <t>个体工商户在部分高风险类目会受限</t>
  </si>
  <si>
    <t>法人姓名</t>
  </si>
  <si>
    <t>与执照一致</t>
  </si>
  <si>
    <t>马洁</t>
  </si>
  <si>
    <t>个体户执照上称「经营者」，与法人同一栏</t>
  </si>
  <si>
    <t>法人手机号</t>
  </si>
  <si>
    <t>能接收验证码、能接审核电话</t>
  </si>
  <si>
    <t>13820908557</t>
  </si>
  <si>
    <t>取原表「老板手机」预填，请确认是马洁本人实名号</t>
  </si>
  <si>
    <t>执照注册地址</t>
  </si>
  <si>
    <t>与执照完全一致</t>
  </si>
  <si>
    <t>天津市西青区大寺镇梅江灯饰广场南侧20米院内展厅114及连接维修车间</t>
  </si>
  <si>
    <t>实际经营地址</t>
  </si>
  <si>
    <t>写到门牌号/楼层，便于审核比对</t>
  </si>
  <si>
    <t>按执照地址填；若实际门店与执照不同，需备一句解释口径</t>
  </si>
  <si>
    <t>地图定位名称（POI）</t>
  </si>
  <si>
    <t>地图上能搜到的名称；搜不到就先新建</t>
  </si>
  <si>
    <t>待确认：与门头招牌保持一致，先在地图搜「聚鸿津豪汽车配件销售店」</t>
  </si>
  <si>
    <t>抖音 快手 小红书 美团 点评</t>
  </si>
  <si>
    <t>POI 名称与门头照不一致是高频驳回原因</t>
  </si>
  <si>
    <t>经纬度</t>
  </si>
  <si>
    <t>选填</t>
  </si>
  <si>
    <t>地图拾取后填，便于新建 POI</t>
  </si>
  <si>
    <t>联系方式</t>
  </si>
  <si>
    <t>门店电话（主要）</t>
  </si>
  <si>
    <t>营业时间必须有人接</t>
  </si>
  <si>
    <t>13821425827</t>
  </si>
  <si>
    <t>门店电话（备用）</t>
  </si>
  <si>
    <t>老板手机</t>
  </si>
  <si>
    <t>微信号/私信口径</t>
  </si>
  <si>
    <t>平台内优先，不主动引导站外</t>
  </si>
  <si>
    <t>图片/文案里出现微信号会被限流</t>
  </si>
  <si>
    <t>经营信息</t>
  </si>
  <si>
    <t>营业时间</t>
  </si>
  <si>
    <t>含午休，例：09:00-18:00（午休 12:00-13:00）</t>
  </si>
  <si>
    <t>9:00-18:00</t>
  </si>
  <si>
    <t>每周店休</t>
  </si>
  <si>
    <t>无休 / 周日休</t>
  </si>
  <si>
    <t>影响“可用时段”怎么填</t>
  </si>
  <si>
    <t>门店类目（所在行业）</t>
  </si>
  <si>
    <t>汽车服务 &gt; 汽车美容/贴膜；美团为 爱车 &gt; 美容</t>
  </si>
  <si>
    <t>汽车服务 &gt; 汽车美容/贴膜（美团为：爱车 &gt; 汽车美容）</t>
  </si>
  <si>
    <t>⚠️ 执照经营范围未含「汽车美容/贴膜服务」，美团/抖音类目审核可能要求补充；建议到西青区市场监管增项「汽车美容服务、机动车维修」，否则贴膜类目有被驳回风险</t>
  </si>
  <si>
    <t>门店简介（短·50字）</t>
  </si>
  <si>
    <t>做什么 + 做了多久 + 一句信任点</t>
  </si>
  <si>
    <t>【草稿】西青大寺 2016 年开店，专做隐形车衣、玻璃膜、改色膜，一线师傅施工。</t>
  </si>
  <si>
    <t>AI 拟稿，请按实际改写后再用</t>
  </si>
  <si>
    <t>门店简介（长·200字）</t>
  </si>
  <si>
    <t>适合美团/大众点评商户介绍</t>
  </si>
  <si>
    <t>【草稿】津豪汽车贴膜改装，2016 年开业，位于西青区大寺镇梅江灯饰广场南侧，自有施工车间。主营隐形车衣、改色膜、玻璃隔热膜与内饰改装，专车专用裁膜，膜材品牌与型号可查；施工前验车拍照留档，质保卡编号可追溯。贴膜、改色、内饰可一处完成，支持预约到店。</t>
  </si>
  <si>
    <t>美团 点评 小红书</t>
  </si>
  <si>
    <t>AI 拟稿，请按实际改写后再用；平台允许时可再扩到 200 字</t>
  </si>
  <si>
    <t>工位/施工车间数量</t>
  </si>
  <si>
    <t>数字，决定日产能</t>
  </si>
  <si>
    <t>内部</t>
  </si>
  <si>
    <t>日均最大接单量</t>
  </si>
  <si>
    <t>台/天，决定库存怎么设</t>
  </si>
  <si>
    <t>可服务车型范围</t>
  </si>
  <si>
    <t>轿车/SUV/MPV/新能源；是否接超跑、改装车</t>
  </si>
  <si>
    <t>轿车 / SUV / MPV / 新能源；超跑、改装车是否接待待确认</t>
  </si>
  <si>
    <t>交通与停车指引</t>
  </si>
  <si>
    <t>地铁/公交 + 停车是否免费</t>
  </si>
  <si>
    <t>写清楚能减少“找不到店”的退款</t>
  </si>
  <si>
    <t>资质证照</t>
  </si>
  <si>
    <t>营业执照照片</t>
  </si>
  <si>
    <t>清晰、四角完整、不反光</t>
  </si>
  <si>
    <t>已有：2026-04-21 换发版，可用于平台认证</t>
  </si>
  <si>
    <t>手机翻拍件；上传前按「四角完整、不反光、JPG」重拍</t>
  </si>
  <si>
    <t>法人身份证正反面</t>
  </si>
  <si>
    <t>清晰、不遮挡</t>
  </si>
  <si>
    <t>之前给了，有了</t>
  </si>
  <si>
    <t>法人手持身份证照</t>
  </si>
  <si>
    <t>部分平台人脸核验时代替</t>
  </si>
  <si>
    <t>部分平台</t>
  </si>
  <si>
    <t>品牌授权书</t>
  </si>
  <si>
    <t>雷朋/3M/科为等，有就传，能提审核通过率</t>
  </si>
  <si>
    <t>美团 抖音 淘宝</t>
  </si>
  <si>
    <t>行业许可证</t>
  </si>
  <si>
    <t>贴膜一般不需要；改内饰/改装按当地要求</t>
  </si>
  <si>
    <t>本店执照经营范围未含贴膜/美容服务，类目审核有风险（见备注）</t>
  </si>
  <si>
    <t>按类目</t>
  </si>
  <si>
    <t>与「门店类目」备注是同一件事：需先做经营范围增项</t>
  </si>
  <si>
    <t>门头照</t>
  </si>
  <si>
    <t>横版、清晰、招牌完整、无遮挡</t>
  </si>
  <si>
    <t>用网图会被直接驳回</t>
  </si>
  <si>
    <t>店内环境照</t>
  </si>
  <si>
    <t>工位、车间、休息区各 1-2 张</t>
  </si>
  <si>
    <t>结算</t>
  </si>
  <si>
    <t>结算账户类型</t>
  </si>
  <si>
    <t>对公 / 对私（个体户常见）</t>
  </si>
  <si>
    <t>开户行 + 卡号</t>
  </si>
  <si>
    <t>与主体一致</t>
  </si>
  <si>
    <t>主体不一致无法结算</t>
  </si>
  <si>
    <t>发票能力</t>
  </si>
  <si>
    <t>能否开票、票种</t>
  </si>
  <si>
    <t>淘宝 抖音</t>
  </si>
  <si>
    <t>履约与售后</t>
  </si>
  <si>
    <t>预约方式</t>
  </si>
  <si>
    <t>电话预约 / 平台预约 / 私信预约</t>
  </si>
  <si>
    <t>施工时长口径</t>
  </si>
  <si>
    <t>玻璃膜 2-4h；车衣 1-2 天；改色 2-3 天；内饰 1-3 天</t>
  </si>
  <si>
    <t>影响“是否需要预约”和库存</t>
  </si>
  <si>
    <t>能否留车过夜</t>
  </si>
  <si>
    <t>能 / 不能；能否代步车</t>
  </si>
  <si>
    <t>车衣改色必答，否则差评多</t>
  </si>
  <si>
    <t>改期/取消规则</t>
  </si>
  <si>
    <t>例：提前 24h 免费改期，最多 2 次</t>
  </si>
  <si>
    <t>质保范围</t>
  </si>
  <si>
    <t>例：起泡、脱胶、开裂、明显褪色；不含人为剐蹭</t>
  </si>
  <si>
    <t>这是用户最看重的差异点</t>
  </si>
  <si>
    <t>质保凭证形式</t>
  </si>
  <si>
    <t>电子质保卡 / 纸质卡 + 编号</t>
  </si>
  <si>
    <t>售后响应时效</t>
  </si>
  <si>
    <t>例：24h 内响应，7 天内免费返工</t>
  </si>
  <si>
    <t>售后需客户提供的证据</t>
  </si>
  <si>
    <t>施工前车况照片、质保卡编号</t>
  </si>
  <si>
    <t>线上资产</t>
  </si>
  <si>
    <t>抖音号（企业号）</t>
  </si>
  <si>
    <t>已认证蓝V填这里</t>
  </si>
  <si>
    <t>抖音</t>
  </si>
  <si>
    <t>小红书专业号</t>
  </si>
  <si>
    <t>已认证填这里</t>
  </si>
  <si>
    <t>小红书</t>
  </si>
  <si>
    <t>美团/点评门店 ID</t>
  </si>
  <si>
    <t>认领后后台可见</t>
  </si>
  <si>
    <t>美团 点评</t>
  </si>
  <si>
    <t>闲鱼账号</t>
  </si>
  <si>
    <t>建议专号专用</t>
  </si>
  <si>
    <t>闲鱼</t>
  </si>
  <si>
    <t>淘宝店铺名</t>
  </si>
  <si>
    <t>已开店填这里</t>
  </si>
  <si>
    <t>淘宝</t>
  </si>
  <si>
    <t>套餐填写表 · 一个套餐一列，从上往下填</t>
  </si>
  <si>
    <t>黄色格＝你填；灰色格＝自动算。填不出来的先写“待定”，别空着——空着表就白做了。同类字段六个套餐都要填，不必填满六列，就是上架一个产品填写一列</t>
  </si>
  <si>
    <t>套餐1
玻璃隔热膜</t>
  </si>
  <si>
    <t>套餐2
隐形车衣·TPU主推</t>
  </si>
  <si>
    <t>套餐3
隐形车衣·PVC引流</t>
  </si>
  <si>
    <t>套餐4
车身改色膜</t>
  </si>
  <si>
    <t>套餐5
内饰改装·座椅包覆</t>
  </si>
  <si>
    <t>套餐6
音响·隔音升级</t>
  </si>
  <si>
    <t>A 基础信息</t>
  </si>
  <si>
    <t>套餐编号（内部）</t>
  </si>
  <si>
    <t>自定义短码，如 JHM-01 / JHM-02</t>
  </si>
  <si>
    <t>品牌+项目+规格+质保，30 字内。例：卡皮诺 隐形车衣 全车 5年质保</t>
  </si>
  <si>
    <t>商品标题·抖音</t>
  </si>
  <si>
    <t>【品牌】+项目+规格+车型，30 字内。例：【卡皮诺】隐形车衣全车 TPU 5年质保</t>
  </si>
  <si>
    <t>商品标题·快手</t>
  </si>
  <si>
    <t>门店品牌简称+套餐名+规格；多店通用要注明。例：津豪贴膜 隐形车衣全车 5年质保</t>
  </si>
  <si>
    <t>快手</t>
  </si>
  <si>
    <t>商品标题·闲鱼</t>
  </si>
  <si>
    <t>前 15 字放核心词。例：天津汽车贴膜 隐形车衣全车 TPU 5年质保</t>
  </si>
  <si>
    <t>商品标题·淘宝</t>
  </si>
  <si>
    <t>项目词+品牌+规格+质保，30 字内堆关键词，别堆重复词</t>
  </si>
  <si>
    <t>商品类型</t>
  </si>
  <si>
    <t>团购套餐 / 代金券 / 次卡（贴膜一般选团购套餐）</t>
  </si>
  <si>
    <t>美团 抖音 快手 小红书</t>
  </si>
  <si>
    <t>平台类目路径</t>
  </si>
  <si>
    <t>每个平台一条，路径见 05 表。例：抖音 汽车服务&gt;汽车美容&gt;贴膜</t>
  </si>
  <si>
    <t>一句话卖点</t>
  </si>
  <si>
    <t>≤15 字，能当封面大字。例：防爆隔热 · 5 年质保</t>
  </si>
  <si>
    <t>商品短描述</t>
  </si>
  <si>
    <t>50 字内，列表页/卡片用：包含什么 + 谁适合 + 一句保障</t>
  </si>
  <si>
    <t>图文详情文案</t>
  </si>
  <si>
    <t>≤1000 字。四段：包含什么 / 怎么施工 / 质保到什么程度 / 注意事项</t>
  </si>
  <si>
    <t>美团 抖音 淘宝 小红书</t>
  </si>
  <si>
    <t>特色标签</t>
  </si>
  <si>
    <t>≤6 字，如：防刮提亮 / 隔热降温 / 不留胶</t>
  </si>
  <si>
    <t>美团 抖音</t>
  </si>
  <si>
    <t>适用车型</t>
  </si>
  <si>
    <t>全车型 / 五座轿车 / SUV·MPV；有加价的写清哪些车型加多少</t>
  </si>
  <si>
    <t>适用位置</t>
  </si>
  <si>
    <t>全车 / 前挡 / 侧后挡 / 单座椅 / 局部（如大灯、天窗）</t>
  </si>
  <si>
    <t>份数 / 次数</t>
  </si>
  <si>
    <t>1 份；按次卖的写清几次（如内饰清洁 2 次）</t>
  </si>
  <si>
    <t>B 商品属性</t>
  </si>
  <si>
    <t>膜品牌</t>
  </si>
  <si>
    <t>雷朋 / 3M / 科为 / 卡皮诺 等，写全称</t>
  </si>
  <si>
    <t>型号 / 系列</t>
  </si>
  <si>
    <t>具体型号，如 雷朋 LX-70、卡皮诺 CP-5</t>
  </si>
  <si>
    <t>材质</t>
  </si>
  <si>
    <t>TPU / PVC / 陶瓷 / 磁控金属 / 纳尔；玻璃膜写清工艺</t>
  </si>
  <si>
    <t>净膜厚度（mil）</t>
  </si>
  <si>
    <t>数字，如 7.5。车衣类必填，薄厚是用户比价重点</t>
  </si>
  <si>
    <t>修复类型</t>
  </si>
  <si>
    <t>自修复 / 热修复 / 无（车衣专属字段）</t>
  </si>
  <si>
    <t>美团</t>
  </si>
  <si>
    <t>表面质感</t>
  </si>
  <si>
    <t>光面 / 雾面 / 哑光 / 电镀 / 碳纤纹</t>
  </si>
  <si>
    <t>耐变黄时间</t>
  </si>
  <si>
    <t>5 年 / 10 年（车衣）</t>
  </si>
  <si>
    <t>生产工艺</t>
  </si>
  <si>
    <t>压延 / 铸造（改色膜）</t>
  </si>
  <si>
    <t>颜色 / 图案</t>
  </si>
  <si>
    <t>改色膜填颜色名；每个颜色配一张色卡图，最多 5 组</t>
  </si>
  <si>
    <t>美团 淘宝</t>
  </si>
  <si>
    <t>可选颜色数</t>
  </si>
  <si>
    <t>数字，如 12 色可选</t>
  </si>
  <si>
    <t>改色</t>
  </si>
  <si>
    <t>红外阻隔率（%）</t>
  </si>
  <si>
    <t>数字，如 95。玻璃膜核心参数</t>
  </si>
  <si>
    <t>玻璃膜</t>
  </si>
  <si>
    <t>紫外线阻隔率（%）</t>
  </si>
  <si>
    <t>数字，如 99</t>
  </si>
  <si>
    <t>可见光透光率 VLT（%）</t>
  </si>
  <si>
    <t>数字，如 70。前挡按法规需 ≥70%，别写错</t>
  </si>
  <si>
    <t>3 年 / 5 年 / 10 年</t>
  </si>
  <si>
    <t>逐条写：起泡 / 脱胶 / 开裂 / 明显褪色；不含人为剐蹭、事故损伤</t>
  </si>
  <si>
    <t>生产厂商 / 产地</t>
  </si>
  <si>
    <t>文本，如 卡皮诺（国产）/ 雷朋（日本）</t>
  </si>
  <si>
    <t>施工流程</t>
  </si>
  <si>
    <t>清洁→验车记录→专车裁膜→施工→质检→交车；多选写入</t>
  </si>
  <si>
    <t>美团 抖音 快手</t>
  </si>
  <si>
    <t>增值服务</t>
  </si>
  <si>
    <t>赠车衣险 / 免费修补 N 次 / 送洗车 / 上门取送车 / 旧膜免费撕除</t>
  </si>
  <si>
    <t>建议车辆数</t>
  </si>
  <si>
    <t>抖音“建议人数”一栏对贴膜店填 1 车；多车套餐才填 2 车</t>
  </si>
  <si>
    <t>C 价格与库存</t>
  </si>
  <si>
    <t>原价，必须真实可查。别虚高再打折</t>
  </si>
  <si>
    <t>团购价 / 售价（元）</t>
  </si>
  <si>
    <t>实际成交价，各平台保持一致（允许几元差）</t>
  </si>
  <si>
    <t>材料成本（元）</t>
  </si>
  <si>
    <t>内部核算用，不对外；膜料+辅料</t>
  </si>
  <si>
    <t>预估结算价（元）</t>
  </si>
  <si>
    <t>自动：团购价 × 94%（美团基础服务费 6%）</t>
  </si>
  <si>
    <t>计算</t>
  </si>
  <si>
    <t>预估毛利（元）</t>
  </si>
  <si>
    <t>自动：结算价 − 材料成本（未含工时/房租）</t>
  </si>
  <si>
    <t>毛利率</t>
  </si>
  <si>
    <t>自动：毛利 ÷ 结算价</t>
  </si>
  <si>
    <t>是否含施工费</t>
  </si>
  <si>
    <t>含 / 不含（不含要写清另收多少）</t>
  </si>
  <si>
    <t>库存 / 每日可接单</t>
  </si>
  <si>
    <t>数字或不限；建议设为“日均产能 × 7”，别设 2000000</t>
  </si>
  <si>
    <t>美团 抖音 快手 淘宝</t>
  </si>
  <si>
    <t>每人限购</t>
  </si>
  <si>
    <t>不限制 / N 份</t>
  </si>
  <si>
    <t>大车 / SUV 加价</t>
  </si>
  <si>
    <t>例：SUV +200，MPV +300，超跑另议；不加价就写“不加价”</t>
  </si>
  <si>
    <t>促销 / 立减</t>
  </si>
  <si>
    <t>例：新客立减 50；没有就写“无”</t>
  </si>
  <si>
    <t>D 使用规则</t>
  </si>
  <si>
    <t>有效期</t>
  </si>
  <si>
    <t>购买后 N 天内有效（建议 90 天）或固定起止日</t>
  </si>
  <si>
    <t>可用时段</t>
  </si>
  <si>
    <t>营业时间内，例：09:00-18:00；车衣需留车则注明“需预约整天空档”</t>
  </si>
  <si>
    <t>不可用日期</t>
  </si>
  <si>
    <t>法定节假日是否可用；春节前后是否停接</t>
  </si>
  <si>
    <t>是否需预约</t>
  </si>
  <si>
    <t>需提前 1 天 / 需提前 3 天（车衣）/ 无需预约</t>
  </si>
  <si>
    <t>电话 / 平台内私信 / 平台预约组件</t>
  </si>
  <si>
    <t>优惠同享</t>
  </si>
  <si>
    <t>不可同享 / 可与全部同享 / 只与部分同享</t>
  </si>
  <si>
    <t>退款规则</t>
  </si>
  <si>
    <t>随时退 / 过期退 / 有条件退（已裁膜不退）</t>
  </si>
  <si>
    <t>售卖开始时间</t>
  </si>
  <si>
    <t>审核通过立即 / 指定日期</t>
  </si>
  <si>
    <t>售卖结束时间</t>
  </si>
  <si>
    <t>自动延期 / 指定日期</t>
  </si>
  <si>
    <t>投放渠道</t>
  </si>
  <si>
    <t>不限制 / 仅直播间（抖音）；建议不限制</t>
  </si>
  <si>
    <t>是否收集客户手机号</t>
  </si>
  <si>
    <t>需要 / 不需要；建议不需要，降低下单门槛</t>
  </si>
  <si>
    <t>核销方式</t>
  </si>
  <si>
    <t>扫码 / 券码 / 报手机号；谁有核销权限写清</t>
  </si>
  <si>
    <t>E 履约与售后</t>
  </si>
  <si>
    <t>玻璃膜 2-4；车衣 24-48；改色 48-72；内饰 24-72</t>
  </si>
  <si>
    <t>是否留车过夜</t>
  </si>
  <si>
    <t>能 / 不能；能的话写清保管责任</t>
  </si>
  <si>
    <t>改期 / 取消规则</t>
  </si>
  <si>
    <t>例：提前 24h 免费改期，最多 2 次；爽约金怎么算</t>
  </si>
  <si>
    <t>售后响应</t>
  </si>
  <si>
    <t>质保凭证</t>
  </si>
  <si>
    <t>电子质保卡 / 纸质卡 + 编号规则</t>
  </si>
  <si>
    <t>交付验收标准</t>
  </si>
  <si>
    <t>无水泡/无划伤/无起翘/边角包覆到位；交车当面验</t>
  </si>
  <si>
    <t>施工前车况记录</t>
  </si>
  <si>
    <t>全车拍照+录像存档，避免事后扯皮</t>
  </si>
  <si>
    <t>F 素材与文案</t>
  </si>
  <si>
    <t>商品头图</t>
  </si>
  <si>
    <t>美团 16:9 宽高&gt;480px；抖音 ≥2 张；小红书 3:4 竖图；均不可带导流文字</t>
  </si>
  <si>
    <t>环境图</t>
  </si>
  <si>
    <t>门头 / 工位 / 休息区，1-3 张，真实拍摄</t>
  </si>
  <si>
    <t>施工过程图</t>
  </si>
  <si>
    <t>3-5 张：清洁、裁膜、刮水、收边；无水印无二维码</t>
  </si>
  <si>
    <t>前后对比图</t>
  </si>
  <si>
    <t>同角度同光线，3 组以上；这是贴膜店最有效的素材</t>
  </si>
  <si>
    <t>色卡图（改色膜）</t>
  </si>
  <si>
    <t>每个颜色一张，≥640×360；最多 5 组</t>
  </si>
  <si>
    <t>竖版短视频</t>
  </si>
  <si>
    <t>9:16，1080×1920，15-30s；无水印、无二维码、无第三方平台 logo</t>
  </si>
  <si>
    <t>抖音 快手 小红书</t>
  </si>
  <si>
    <t>视频封面</t>
  </si>
  <si>
    <t>3:4 或 9:16，带大字标题（能看清卖点）</t>
  </si>
  <si>
    <t>抖音 快手</t>
  </si>
  <si>
    <t>小红书笔记标题</t>
  </si>
  <si>
    <t>≤20 字。人群+场景+数字，例：天津贴膜别乱选，这3点看完成本省一半</t>
  </si>
  <si>
    <t>小红书笔记正文</t>
  </si>
  <si>
    <t>≤1000 字，600 字左右最好；分 3-4 段，每段 2-3 行</t>
  </si>
  <si>
    <t>话题标签</t>
  </si>
  <si>
    <t>3-6 个：#天津汽车贴膜 #隐形车衣 #改色膜 #汽车美容</t>
  </si>
  <si>
    <t>小红书 抖音 快手</t>
  </si>
  <si>
    <t>地点 POI</t>
  </si>
  <si>
    <t>门店 POI 名称，与 02 表一致</t>
  </si>
  <si>
    <t>G 合规自检</t>
  </si>
  <si>
    <t>是否含绝对化用语</t>
  </si>
  <si>
    <t>填“无”或列出（最/第一/永久/100%）；有就必须改掉</t>
  </si>
  <si>
    <t>是否承诺效果/寿命</t>
  </si>
  <si>
    <t>填“无”或列出；不承诺“永不发黄”“绝对不留胶”</t>
  </si>
  <si>
    <t>图片是否含第三方水印/二维码</t>
  </si>
  <si>
    <t>填“否”或列出；快手对这条查得最严</t>
  </si>
  <si>
    <t>宣传价与团购价是否一致</t>
  </si>
  <si>
    <t>填“一致”或“不一致（差 XX 元，已改）”</t>
  </si>
  <si>
    <t>是否引导站外交易</t>
  </si>
  <si>
    <t>填“否”或列出；引导加微信会被限流/下架</t>
  </si>
  <si>
    <t>字段 × 平台 必填对照</t>
  </si>
  <si>
    <t>绿色底＝该平台必填；白底＝选填；“—”＝该平台没有这个字段；橙色＝需在后台实测确认。同一件事各平台叫法不同，看说明列。</t>
  </si>
  <si>
    <t>美团·点评</t>
  </si>
  <si>
    <t>抖音来客</t>
  </si>
  <si>
    <t>依据 / 差异说明</t>
  </si>
  <si>
    <t>基础</t>
  </si>
  <si>
    <t>套餐/商品名称</t>
  </si>
  <si>
    <t>美团名由系统按“品牌+分类+质保+材质+特色”自动拼接，不能手改；抖音/快手/淘宝可自定义标题，30 字内。</t>
  </si>
  <si>
    <t>商品标题（独立字段）</t>
  </si>
  <si>
    <t>—</t>
  </si>
  <si>
    <t>快手要求含门店品牌简称+套餐名+规格；闲鱼前 15 字最关键；淘宝 30 字/60 字符。小红书标题属笔记，不在商品上。</t>
  </si>
  <si>
    <t>团购套餐/代金券/次卡。闲鱼走“发服务”或“发闲置”入口即等于选了类型。</t>
  </si>
  <si>
    <t>平台类目</t>
  </si>
  <si>
    <t>填错类目直接影响流量与审核，路径见 05 表。</t>
  </si>
  <si>
    <t>素材</t>
  </si>
  <si>
    <t>美团 16:9 且宽高&gt;480px；抖音/快手 ≥2 张、禁黑边禁截图；小红书 3:4 竖图；淘宝首图建议白底 800×800 以上。</t>
  </si>
  <si>
    <t>商品视频</t>
  </si>
  <si>
    <t>有视频的转化率明显更高，优先拍 15-30s 竖版。</t>
  </si>
  <si>
    <t>图文详情</t>
  </si>
  <si>
    <t>美团≤1000 字；快手要求套餐单品明细；闲鱼写在“描述”里；淘宝写在“详情描述”。</t>
  </si>
  <si>
    <t>价格</t>
  </si>
  <si>
    <t>门市价（原价）</t>
  </si>
  <si>
    <t>必须真实可查。虚高再打折是各平台共同红线。</t>
  </si>
  <si>
    <t>团购价 / 售价</t>
  </si>
  <si>
    <t>跨平台保持一致。</t>
  </si>
  <si>
    <t>库存</t>
  </si>
  <si>
    <t>团购平台可不限；闲鱼/淘宝必须填数量。</t>
  </si>
  <si>
    <t>建议人数 / 车辆数</t>
  </si>
  <si>
    <t>抖音叫“建议用餐人数”、快手叫“建议人数”，贴膜店填 1 车。</t>
  </si>
  <si>
    <t>属性</t>
  </si>
  <si>
    <t>品牌</t>
  </si>
  <si>
    <t>美团为下拉单选（可新增）；快手要求标题含品牌；淘宝是类目属性必填。</t>
  </si>
  <si>
    <t>美团品牌与型号合并为“品牌及型号”一个字段。</t>
  </si>
  <si>
    <t>TPU/PVC 等。美团为下拉可新增。</t>
  </si>
  <si>
    <t>只有美团车衣类目有这个字段，且是必填。</t>
  </si>
  <si>
    <t>美团车衣专属：自修复/热修复。</t>
  </si>
  <si>
    <t>美团车衣：光面/雾面。</t>
  </si>
  <si>
    <t>美团车衣选填。</t>
  </si>
  <si>
    <t>美团改色膜专属：压延/铸造。</t>
  </si>
  <si>
    <t>改色膜在美团要每个颜色配一张图（最多 5 组）；淘宝走 SKU。</t>
  </si>
  <si>
    <t>美团为下拉（5年/10年，可新增）；没有独立字段的平台就写进标题或详情。</t>
  </si>
  <si>
    <t>写清“保什么、不保什么”，这是差评高发点。</t>
  </si>
  <si>
    <t>美团为下拉：全车型/五座轿车/SUV·MPV/仅SUV/仅MPV。</t>
  </si>
  <si>
    <t>美团是固定多选项；快手要写在套餐详情里。</t>
  </si>
  <si>
    <t>赠送项，能提转化。</t>
  </si>
  <si>
    <t>图文详情字数</t>
  </si>
  <si>
    <t>≤1000 字</t>
  </si>
  <si>
    <t>无硬限</t>
  </si>
  <si>
    <t>≤2000 字</t>
  </si>
  <si>
    <t>小红书 1000 字是硬上限；闲鱼描述建议 300-800 字。</t>
  </si>
  <si>
    <t>履约</t>
  </si>
  <si>
    <t>适用门店</t>
  </si>
  <si>
    <t>发货地</t>
  </si>
  <si>
    <t>前三者都要选可核销门店；闲鱼填所在地；淘宝填服务范围或门店。</t>
  </si>
  <si>
    <t>规则</t>
  </si>
  <si>
    <t>美团可选“购买后 N 天”或“固定区间”；抖音叫“客户可消费日期”。</t>
  </si>
  <si>
    <t>美团合并为“不可用日期”；抖音叫“每日消费时段”。</t>
  </si>
  <si>
    <t>预约规则</t>
  </si>
  <si>
    <t>车衣/改色必须写“需提前 N 天预约，需留车 N 天”。</t>
  </si>
  <si>
    <t>美团必填三选一。</t>
  </si>
  <si>
    <t>限购</t>
  </si>
  <si>
    <t>美团/抖音/快手都必填。</t>
  </si>
  <si>
    <t>平台默认</t>
  </si>
  <si>
    <t>注意：已裁膜/已施工通常不可退，必须提前写清。</t>
  </si>
  <si>
    <t>售卖起止时间</t>
  </si>
  <si>
    <t>美团/抖音建议“自动延期”。</t>
  </si>
  <si>
    <t>平台券</t>
  </si>
  <si>
    <t>扫码/券码/报手机号；抖音/快手需先配核销员账号。</t>
  </si>
  <si>
    <t>推广</t>
  </si>
  <si>
    <t>达人佣金</t>
  </si>
  <si>
    <t>必填*</t>
  </si>
  <si>
    <t>开了达人带货才需填；抖音团购达人佣金常见 10%-20%。</t>
  </si>
  <si>
    <t>抖音：不限制 / 仅直播间。</t>
  </si>
  <si>
    <t>抖音建议选“不需要”。</t>
  </si>
  <si>
    <t>发货 / 交付方式</t>
  </si>
  <si>
    <t>闲鱼选自提/邮寄；淘宝服务类选“无需物流”或设置服务范围。</t>
  </si>
  <si>
    <t>服务承诺</t>
  </si>
  <si>
    <t>淘宝有“7 天无理由/破损包退”等；服务类通常不适用 7 天无理由，按类目提示选。</t>
  </si>
  <si>
    <t>运费模板</t>
  </si>
  <si>
    <t>淘宝实物膜才需要；纯服务类用不到。</t>
  </si>
  <si>
    <t>成色 / 新旧</t>
  </si>
  <si>
    <t>闲鱼服务类选“全新”或“不适用”。</t>
  </si>
  <si>
    <t>所在地 / 可服务区域</t>
  </si>
  <si>
    <t>闲鱼同城流量靠这个；建议写“天津市西青区”。</t>
  </si>
  <si>
    <t>鱼塘 / 标签</t>
  </si>
  <si>
    <t>同步到本地鱼塘能显著增加曝光。</t>
  </si>
  <si>
    <t>内容</t>
  </si>
  <si>
    <t>笔记标题（≤20 字）</t>
  </si>
  <si>
    <t>小红书专属，超 20 字发不出去。</t>
  </si>
  <si>
    <t>笔记正文（≤1000 字）</t>
  </si>
  <si>
    <t>小红书专属，图多字少更吃香。</t>
  </si>
  <si>
    <t>小红书 3-5 个；抖音/快手 3-6 个。</t>
  </si>
  <si>
    <t>地点 POI 挂载</t>
  </si>
  <si>
    <t>门店 POI 挂载是本地流量的入口，抖音/快手/小红书都要。</t>
  </si>
  <si>
    <t>商品卡 / 团购挂载</t>
  </si>
  <si>
    <t>视频/笔记里挂团购组件，才能“边看边买”。</t>
  </si>
  <si>
    <t>主体</t>
  </si>
  <si>
    <t>企业资质认证</t>
  </si>
  <si>
    <t>实名</t>
  </si>
  <si>
    <t>抖音蓝V 600 元/年；小红书企业专业号 600 元/年；美团/点评入驻免费按交易抽佣。</t>
  </si>
  <si>
    <t>门店 POI 认领</t>
  </si>
  <si>
    <t>POI 名称/地址/门头照三者必须对得上，否则反复驳回。</t>
  </si>
  <si>
    <t>各平台后台字段明细（上架时对着填）</t>
  </si>
  <si>
    <t>按平台分块。每块就是该平台创建商品时的表单顺序，尽量按后台顺序排，减少来回找。</t>
  </si>
  <si>
    <t>美团 / 大众点评 · 经营宝（两平台共用同一后台）</t>
  </si>
  <si>
    <t>#</t>
  </si>
  <si>
    <t>类型</t>
  </si>
  <si>
    <t>可选值 / 规格限制</t>
  </si>
  <si>
    <t>备注 / 易驳回点</t>
  </si>
  <si>
    <t>类目路径</t>
  </si>
  <si>
    <t>下拉</t>
  </si>
  <si>
    <t>爱车 &gt; 美容 &gt; 隐形车衣 或 车身改色</t>
  </si>
  <si>
    <t>类目决定能填哪些属性，先选对类目再填内容</t>
  </si>
  <si>
    <t>团购名称</t>
  </si>
  <si>
    <t>系统拼接</t>
  </si>
  <si>
    <t>品牌+分类+质保年限+材质+特色，最多 30 字，不能手改</t>
  </si>
  <si>
    <t>所以“品牌”和“质保年限”选错，名字就错了</t>
  </si>
  <si>
    <t>团购券格式</t>
  </si>
  <si>
    <t>单选</t>
  </si>
  <si>
    <t>点评券 / 三方券</t>
  </si>
  <si>
    <t>自营核销一般选点评券</t>
  </si>
  <si>
    <t>团购售卖类型</t>
  </si>
  <si>
    <t>单次卡 / 多次卡</t>
  </si>
  <si>
    <t>贴膜按次卖选单次卡</t>
  </si>
  <si>
    <t>团购头图</t>
  </si>
  <si>
    <t>图片</t>
  </si>
  <si>
    <t>建议 16:9，宽高均 &gt;480px，5M 内，不可加导向性文字</t>
  </si>
  <si>
    <t>带“加微信/立减”等字样会被驳回</t>
  </si>
  <si>
    <t>团购视频</t>
  </si>
  <si>
    <t>视频</t>
  </si>
  <si>
    <t>服务讲解 / 施工案例 / 养车科普 / 店内带看，需审核</t>
  </si>
  <si>
    <t>门市价</t>
  </si>
  <si>
    <t>金额</t>
  </si>
  <si>
    <t>原价</t>
  </si>
  <si>
    <t>必须真实</t>
  </si>
  <si>
    <t>团购价</t>
  </si>
  <si>
    <t>实际售卖价</t>
  </si>
  <si>
    <t>平台基础服务费 6%</t>
  </si>
  <si>
    <t>整数</t>
  </si>
  <si>
    <t>默认不限</t>
  </si>
  <si>
    <t>建议按产能设，避免接不住</t>
  </si>
  <si>
    <t>全车 / 可自定义（最多 1 项）</t>
  </si>
  <si>
    <t>净膜厚度</t>
  </si>
  <si>
    <t>数字+mil</t>
  </si>
  <si>
    <t>车衣专属，如 7.5</t>
  </si>
  <si>
    <t>改色膜无此字段</t>
  </si>
  <si>
    <t>自修复 / 热修复 / 可自定义</t>
  </si>
  <si>
    <t>车衣专属</t>
  </si>
  <si>
    <t>服务流程</t>
  </si>
  <si>
    <t>多选</t>
  </si>
  <si>
    <t>整车外表清洁 / 外观车况检查 / 专车专用裁膜 / 施工贴膜 / 可自定义</t>
  </si>
  <si>
    <t>文本</t>
  </si>
  <si>
    <t>手动填写覆盖内容，如 脱胶、起泡</t>
  </si>
  <si>
    <t>赠送车衣险 / 赠送 3 次免费修补 / 可自定义</t>
  </si>
  <si>
    <t>光面 / 雾面 / 可自定义</t>
  </si>
  <si>
    <t>5 年 / 10 年 / 可自定义</t>
  </si>
  <si>
    <t>生产厂商</t>
  </si>
  <si>
    <t>如 卡皮诺</t>
  </si>
  <si>
    <t>份数</t>
  </si>
  <si>
    <t>整数+份</t>
  </si>
  <si>
    <t>该服务项目数量</t>
  </si>
  <si>
    <t>改色膜类型</t>
  </si>
  <si>
    <t>哑光膜 / 电镀膜 / 可自定义</t>
  </si>
  <si>
    <t>改色膜专属</t>
  </si>
  <si>
    <t>改色膜材质</t>
  </si>
  <si>
    <t>PVC / 可自定义</t>
  </si>
  <si>
    <t>图案风格</t>
  </si>
  <si>
    <t>卡通动漫 / 可自定义</t>
  </si>
  <si>
    <t>压延 / 铸造 / 可自定义</t>
  </si>
  <si>
    <t>车衣品牌及型号</t>
  </si>
  <si>
    <t>单选（可新增）</t>
  </si>
  <si>
    <t>如 卡皮诺 / 3M / VPTINT</t>
  </si>
  <si>
    <t>既是名字来源也是属性</t>
  </si>
  <si>
    <t>车衣材质</t>
  </si>
  <si>
    <t>TPU / PVC / 可新增</t>
  </si>
  <si>
    <t>车膜颜色</t>
  </si>
  <si>
    <t>图片+文本</t>
  </si>
  <si>
    <t>每色一张图，≥640×360，16:9，5M 内，最多 5 组</t>
  </si>
  <si>
    <t>5 年质保 / 10 年质保 / 可新增</t>
  </si>
  <si>
    <t>全车型 / 五座轿车 / SUV/MPV / 仅 SUV / 仅 MPV</t>
  </si>
  <si>
    <t>图文</t>
  </si>
  <si>
    <t>图片 16:9、5M 内；文字最多 1000 字</t>
  </si>
  <si>
    <t>补充信息</t>
  </si>
  <si>
    <t>对套餐内容的补充说明</t>
  </si>
  <si>
    <t>门店选择</t>
  </si>
  <si>
    <t>可核销门店列表</t>
  </si>
  <si>
    <t>多店要全选上，否则用户买不了</t>
  </si>
  <si>
    <t>团购使用有效期</t>
  </si>
  <si>
    <t>单选+数值</t>
  </si>
  <si>
    <t>指定天数内有效 / 指定时间段内有效</t>
  </si>
  <si>
    <t>全部时间可用 / 限制时间</t>
  </si>
  <si>
    <t>是否需要预约</t>
  </si>
  <si>
    <t>不需要 / 每天规则相同 / 节假日与周末规则不同</t>
  </si>
  <si>
    <t>优惠同享信息</t>
  </si>
  <si>
    <t>不可同享 / 可全部同享 / 只与部分同享</t>
  </si>
  <si>
    <t>单人购买量限制</t>
  </si>
  <si>
    <t>不限制 / 设上限</t>
  </si>
  <si>
    <t>审核通过立即售卖 / 指定时间</t>
  </si>
  <si>
    <t>自动延期保持售卖 / 指定结束时间</t>
  </si>
  <si>
    <t>建议自动延期</t>
  </si>
  <si>
    <t>抖音来客（团购套餐）</t>
  </si>
  <si>
    <t>商品品类</t>
  </si>
  <si>
    <t>按执照经营范围自动匹配</t>
  </si>
  <si>
    <t>如 汽车服务 &gt; 汽车美容</t>
  </si>
  <si>
    <t>品类选错，后面属性全错</t>
  </si>
  <si>
    <t>团购套餐 / 代金券 / 次卡</t>
  </si>
  <si>
    <t>贴膜选团购套餐</t>
  </si>
  <si>
    <t>已认领授权的门店</t>
  </si>
  <si>
    <t>没认领 POI 在这里会选不到</t>
  </si>
  <si>
    <t>建议【品牌】+项目+规格+质保，30 字内</t>
  </si>
  <si>
    <t>建议人数</t>
  </si>
  <si>
    <t>数字</t>
  </si>
  <si>
    <t>贴膜店填 1 车（餐饮才填人数）</t>
  </si>
  <si>
    <t>商品搭配</t>
  </si>
  <si>
    <t>结构化多行</t>
  </si>
  <si>
    <t>商品组名 + 单品名称 + 店内单价；可多组</t>
  </si>
  <si>
    <t>对应“套餐包含什么”，这是审核重点</t>
  </si>
  <si>
    <t>顾客实际支付</t>
  </si>
  <si>
    <t>商品图</t>
  </si>
  <si>
    <t>至少 2 张套餐图；建议 1:1 或 3:4，无水印</t>
  </si>
  <si>
    <t>门店/车间实拍</t>
  </si>
  <si>
    <t>限制 / 不限</t>
  </si>
  <si>
    <t>不限制 / 仅直播间</t>
  </si>
  <si>
    <t>建议不限制</t>
  </si>
  <si>
    <t>商品售卖日期</t>
  </si>
  <si>
    <t>日期区间</t>
  </si>
  <si>
    <t>默认一年，可自动延期</t>
  </si>
  <si>
    <t>客户可消费日期</t>
  </si>
  <si>
    <t>购买后 N 天内可用（建议 90 天）</t>
  </si>
  <si>
    <t>每日消费时段</t>
  </si>
  <si>
    <t>时间区间</t>
  </si>
  <si>
    <t>默认全天，建议按营业时间设</t>
  </si>
  <si>
    <t>限购规则</t>
  </si>
  <si>
    <t>每人限购 N 份</t>
  </si>
  <si>
    <t>无需预约 / 提前 N 小时 / 提前 N 天</t>
  </si>
  <si>
    <t>车衣务必设提前 1-3 天</t>
  </si>
  <si>
    <t>服务方式</t>
  </si>
  <si>
    <t>到店服务（餐饮为堂食/外带）</t>
  </si>
  <si>
    <t>使用规则</t>
  </si>
  <si>
    <t>多行文本</t>
  </si>
  <si>
    <t>可写多条：不可用日期、加价规则、质保说明</t>
  </si>
  <si>
    <t>写得越清，退款越少</t>
  </si>
  <si>
    <t>其他说明</t>
  </si>
  <si>
    <t>顾客信息设置</t>
  </si>
  <si>
    <t>需要 / 不需要客户手机号</t>
  </si>
  <si>
    <t>建议不需要</t>
  </si>
  <si>
    <t>百分比</t>
  </si>
  <si>
    <t>开了达人带货才需填，常见 10%-20%</t>
  </si>
  <si>
    <t>核销员 / 权限</t>
  </si>
  <si>
    <t>配置</t>
  </si>
  <si>
    <t>给店员单独开核销权限，别共用主账号</t>
  </si>
  <si>
    <t>收款账户</t>
  </si>
  <si>
    <t>绑定</t>
  </si>
  <si>
    <t>不绑定无法创建商品</t>
  </si>
  <si>
    <t>快手本地生活</t>
  </si>
  <si>
    <t>门店认领 / 新建</t>
  </si>
  <si>
    <t>结构化</t>
  </si>
  <si>
    <t>门店名称、类目、地址、电话、举证图片</t>
  </si>
  <si>
    <t>地址要与执照/地图一致</t>
  </si>
  <si>
    <t>主体资质</t>
  </si>
  <si>
    <t>上传</t>
  </si>
  <si>
    <t>营业执照、行业资质（按主营）、法人身份信息</t>
  </si>
  <si>
    <t>商品类目</t>
  </si>
  <si>
    <t>按实际属性选，别为了流量乱选</t>
  </si>
  <si>
    <t>类目错→流量偏、达人不敢接</t>
  </si>
  <si>
    <t>商品标题</t>
  </si>
  <si>
    <t>完整含门店品牌（简称）+套餐名+规格；多店通用要注明“N 店通用”</t>
  </si>
  <si>
    <t>不得出现与商品无关的信息</t>
  </si>
  <si>
    <t>商品图片</t>
  </si>
  <si>
    <t>套餐图、菜品图（此处为项目图）、环境图；高清原图，禁黑边、禁截图、禁第三方水印</t>
  </si>
  <si>
    <t>快手查得最严，含“大众点评”“小红书”字样直接驳</t>
  </si>
  <si>
    <t>商品搭配 / 套餐详情</t>
  </si>
  <si>
    <t>每个单品明细：名称、数量、门店价；套餐整体门市价/团购价</t>
  </si>
  <si>
    <t>商品价格</t>
  </si>
  <si>
    <t>门市价 + 团购价</t>
  </si>
  <si>
    <t>数量或不限</t>
  </si>
  <si>
    <t>购买后 N 天 / 固定区间</t>
  </si>
  <si>
    <t>可用时段 / 不可用日期</t>
  </si>
  <si>
    <t>时间</t>
  </si>
  <si>
    <t>营业时间内；节假日是否可用</t>
  </si>
  <si>
    <t>是否需预约、提前多久</t>
  </si>
  <si>
    <t>每人限购数量</t>
  </si>
  <si>
    <t>使用规则 / 注意事项</t>
  </si>
  <si>
    <t>写清加价、留车、质保边界</t>
  </si>
  <si>
    <t>随时退 / 过期退 / 有条件退</t>
  </si>
  <si>
    <t>扫码 / 券码；需配核销账号</t>
  </si>
  <si>
    <t>商家产品编码</t>
  </si>
  <si>
    <t>接入第三方系统（如智慧门店）时填对应 ID</t>
  </si>
  <si>
    <t>纯手工经营不用管</t>
  </si>
  <si>
    <t>开达人带货时填</t>
  </si>
  <si>
    <t>小红书（企业专业号 + 本地生活团购 + 笔记）</t>
  </si>
  <si>
    <t>企业专业号认证</t>
  </si>
  <si>
    <t>认证</t>
  </si>
  <si>
    <t>600 元/年（审核费，失败不退）</t>
  </si>
  <si>
    <t>个人号开不了本地生活</t>
  </si>
  <si>
    <t>POI 门店认领</t>
  </si>
  <si>
    <t>门店名称、地址、电话、营业时间、门头照</t>
  </si>
  <si>
    <t>门头照用网图会被驳回</t>
  </si>
  <si>
    <t>本地生活类目</t>
  </si>
  <si>
    <t>待核实</t>
  </si>
  <si>
    <t>汽车服务 / 洗车养护 归属“生活服务”；能否自助开通需后台确认</t>
  </si>
  <si>
    <t>部分类目需服务商报白，见 01 表说明</t>
  </si>
  <si>
    <t>团购商品名称</t>
  </si>
  <si>
    <t>项目+规格+质保，20-30 字</t>
  </si>
  <si>
    <t>团购价 / 门市价</t>
  </si>
  <si>
    <t>商品主图</t>
  </si>
  <si>
    <t>3:4 竖图，建议 ≥1080×1440，无水印</t>
  </si>
  <si>
    <t>竖图是小红书的基本盘</t>
  </si>
  <si>
    <t>团购详情</t>
  </si>
  <si>
    <t>结构化/文本</t>
  </si>
  <si>
    <t>包含的服务项、数量、使用门店</t>
  </si>
  <si>
    <t>有效期、可用时段、预约、退款、加价</t>
  </si>
  <si>
    <t>认领过的 POI</t>
  </si>
  <si>
    <t>库存 / 限购</t>
  </si>
  <si>
    <t>笔记标题</t>
  </si>
  <si>
    <t>≤20 字（含标点/emoji）</t>
  </si>
  <si>
    <t>超了存不下来</t>
  </si>
  <si>
    <t>笔记正文</t>
  </si>
  <si>
    <t>≤1000 字；600 字左右、两行一空行最好读</t>
  </si>
  <si>
    <t>笔记图片</t>
  </si>
  <si>
    <t>1-18 张，3:4 竖图为主，首图为封面（决定点开率）</t>
  </si>
  <si>
    <t>3-5 个，一大流量+几个精准词</t>
  </si>
  <si>
    <t>选择</t>
  </si>
  <si>
    <t>门店 POI</t>
  </si>
  <si>
    <t>同城流量入口</t>
  </si>
  <si>
    <t>商品卡 / 店铺卡</t>
  </si>
  <si>
    <t>挂载</t>
  </si>
  <si>
    <t>发布时挂团购组件</t>
  </si>
  <si>
    <t>私信 / 群聊组件</t>
  </si>
  <si>
    <t>组件</t>
  </si>
  <si>
    <t>承接咨询，别在正文留微信</t>
  </si>
  <si>
    <t>闲鱼（发服务）</t>
  </si>
  <si>
    <t>发布入口</t>
  </si>
  <si>
    <t>入口选择</t>
  </si>
  <si>
    <t>发服务（技能/本地服务）或 发闲置</t>
  </si>
  <si>
    <t>选错入口字段对不上</t>
  </si>
  <si>
    <t>账号实名</t>
  </si>
  <si>
    <t>实名 + 支付宝绑定 + 芝麻信用授权</t>
  </si>
  <si>
    <t>未实名不能发</t>
  </si>
  <si>
    <t>类目</t>
  </si>
  <si>
    <t>服务 &gt; 汽车服务 &gt; 汽车美容/贴膜（以实际下拉为准）</t>
  </si>
  <si>
    <t>类目树随版本变动</t>
  </si>
  <si>
    <t>标题</t>
  </si>
  <si>
    <t>≤30 字；前 15 字放核心词：天津汽车贴膜+项目+车型</t>
  </si>
  <si>
    <t>算法抓前 15 字</t>
  </si>
  <si>
    <t>描述</t>
  </si>
  <si>
    <t>≤2000 字。分段写：包含什么/品牌型号/施工流程/质保/预约/地址/加价规则</t>
  </si>
  <si>
    <t>1-9 张，首图无水印、主体清晰；建议 3 张以上</t>
  </si>
  <si>
    <t>15-60s，有视频曝光更好</t>
  </si>
  <si>
    <t>一口价或可议价，支持两位小数</t>
  </si>
  <si>
    <t>划线价</t>
  </si>
  <si>
    <t>库存数量</t>
  </si>
  <si>
    <t>可接单数</t>
  </si>
  <si>
    <t>交付方式</t>
  </si>
  <si>
    <t>自提（到店）/ 邮寄 / 无需物流</t>
  </si>
  <si>
    <t>服务选到店自提最合适</t>
  </si>
  <si>
    <t>所在地</t>
  </si>
  <si>
    <t>地区</t>
  </si>
  <si>
    <t>天津市西青区</t>
  </si>
  <si>
    <t>决定同城曝光</t>
  </si>
  <si>
    <t>全新 / 不适用</t>
  </si>
  <si>
    <t>服务类选全新</t>
  </si>
  <si>
    <t>标签</t>
  </si>
  <si>
    <t>如 汽车美容、贴膜、隐形车衣</t>
  </si>
  <si>
    <t>影响推荐权重</t>
  </si>
  <si>
    <t>鱼塘同步</t>
  </si>
  <si>
    <t>同步到本地汽车/天津鱼塘</t>
  </si>
  <si>
    <t>本地曝光提升明显</t>
  </si>
  <si>
    <t>服务保障</t>
  </si>
  <si>
    <t>勾选</t>
  </si>
  <si>
    <t>如实描述、极速退款等</t>
  </si>
  <si>
    <t>淘宝（服务类目 / 实物膜）</t>
  </si>
  <si>
    <t>店铺类型</t>
  </si>
  <si>
    <t>企业店 / 个人店（服务类目建议企业店）</t>
  </si>
  <si>
    <t>服务 &gt; 汽车服务 &gt; 汽车装饰与美容 / 安装服务；卖实物膜则走汽车用品</t>
  </si>
  <si>
    <t>两类打法不同：卖服务 vs 卖膜料</t>
  </si>
  <si>
    <t>资质</t>
  </si>
  <si>
    <t>营业执照（经营范围含汽车美容/维修）、行业许可（如有）、技师资格（部分类目）</t>
  </si>
  <si>
    <t>经营范围不含会被驳</t>
  </si>
  <si>
    <t>宝贝标题</t>
  </si>
  <si>
    <t>30 字 / 60 字符，项目词+品牌+规格+质保+地域</t>
  </si>
  <si>
    <t>副标题</t>
  </si>
  <si>
    <t>类目属性</t>
  </si>
  <si>
    <t>下拉/文本</t>
  </si>
  <si>
    <t>品牌、型号、材质、颜色、适用车型、质保年限、厚度</t>
  </si>
  <si>
    <t>随类目不同，以系统标红必填为准</t>
  </si>
  <si>
    <t>SKU 规格</t>
  </si>
  <si>
    <t>多行</t>
  </si>
  <si>
    <t>按车型/颜色/位置分 SKU，各自价格与库存</t>
  </si>
  <si>
    <t>贴膜店最常见：轿车/SUV 两档 SKU</t>
  </si>
  <si>
    <t>主图</t>
  </si>
  <si>
    <t>5 张，首图建议白底 800×800 以上；无牛皮癣文字</t>
  </si>
  <si>
    <t>主图视频</t>
  </si>
  <si>
    <t>9-16s</t>
  </si>
  <si>
    <t>详情描述</t>
  </si>
  <si>
    <t>建议 10-15 屏：包含项、施工流程、质保、门店实拍、常见问题</t>
  </si>
  <si>
    <t>价格 / 区间价</t>
  </si>
  <si>
    <t>一口价或按 SKU 区间</t>
  </si>
  <si>
    <t>按 SKU 分别设</t>
  </si>
  <si>
    <t>运费 / 服务范围</t>
  </si>
  <si>
    <t>模板</t>
  </si>
  <si>
    <t>实物膜设运费模板；纯服务类设服务范围/无需物流</t>
  </si>
  <si>
    <t>7 天无理由（服务类多不适用）/ 破损包退 / 安装保障</t>
  </si>
  <si>
    <t>选错承诺会带来纠纷</t>
  </si>
  <si>
    <t>上架时间</t>
  </si>
  <si>
    <t>日期时间</t>
  </si>
  <si>
    <t>立即或定时</t>
  </si>
  <si>
    <t>素材清单（拍一次，六平台复用）</t>
  </si>
  <si>
    <t>“状态”列是下拉，选完自动变色。缺的素材先标“待拍”，上架前必须清零——没素材的平台上了也没转化。</t>
  </si>
  <si>
    <t>编号</t>
  </si>
  <si>
    <t>素材类型</t>
  </si>
  <si>
    <t>用途平台</t>
  </si>
  <si>
    <t>规格要求</t>
  </si>
  <si>
    <t>需要数量</t>
  </si>
  <si>
    <t>状态</t>
  </si>
  <si>
    <t>文件名 / 存放位置</t>
  </si>
  <si>
    <t>M01</t>
  </si>
  <si>
    <t>全部（门店认证）</t>
  </si>
  <si>
    <t>横版，招牌完整清晰，无遮挡无贴纸，≥1080px 宽</t>
  </si>
  <si>
    <t>待拍</t>
  </si>
  <si>
    <t>所有平台都要，且不能与营业执照照片混用</t>
  </si>
  <si>
    <t>M02</t>
  </si>
  <si>
    <t>工位、车间全景，横版 ≥1080px</t>
  </si>
  <si>
    <t>M03</t>
  </si>
  <si>
    <t>休息区 / 接待区</t>
  </si>
  <si>
    <t>光线充足，横版</t>
  </si>
  <si>
    <t>M04</t>
  </si>
  <si>
    <t>营业执照</t>
  </si>
  <si>
    <t>四角完整、不反光、字迹清晰</t>
  </si>
  <si>
    <t>M05</t>
  </si>
  <si>
    <t>M06</t>
  </si>
  <si>
    <t>按平台示例拍</t>
  </si>
  <si>
    <t>M07</t>
  </si>
  <si>
    <t>雷朋/3M/科为等，拍照或扫描</t>
  </si>
  <si>
    <t>不需要</t>
  </si>
  <si>
    <t>有就传，能提审核通过率</t>
  </si>
  <si>
    <t>M08</t>
  </si>
  <si>
    <t>膜料包装 / 卷材图</t>
  </si>
  <si>
    <t>能看清品牌 logo 与型号</t>
  </si>
  <si>
    <t>证明用的是正品膜</t>
  </si>
  <si>
    <t>M09</t>
  </si>
  <si>
    <t>清洁、裁膜、刮水、收边各 1 张，横版</t>
  </si>
  <si>
    <t>无水印无二维码</t>
  </si>
  <si>
    <t>M10</t>
  </si>
  <si>
    <t>前后对比图·玻璃膜</t>
  </si>
  <si>
    <t>同角度同光线，车内看出去的效果</t>
  </si>
  <si>
    <t>最有效的素材类型</t>
  </si>
  <si>
    <t>M11</t>
  </si>
  <si>
    <t>前后对比图·隐形车衣</t>
  </si>
  <si>
    <t>提亮/防刮细节特写 + 全车</t>
  </si>
  <si>
    <t>M12</t>
  </si>
  <si>
    <t>前后对比图·改色膜</t>
  </si>
  <si>
    <t>全车正视 + 侧面，同机位</t>
  </si>
  <si>
    <t>M13</t>
  </si>
  <si>
    <t>美团 淘宝 小红书</t>
  </si>
  <si>
    <t>每个颜色一张 ≥640×360，16:9</t>
  </si>
  <si>
    <t>美团最多 5 组</t>
  </si>
  <si>
    <t>M14</t>
  </si>
  <si>
    <t>内饰改装完成图</t>
  </si>
  <si>
    <t>座椅、门板、顶棚细节</t>
  </si>
  <si>
    <t>M15</t>
  </si>
  <si>
    <t>音响 / 隔音施工图</t>
  </si>
  <si>
    <t>拆装、隔音棉铺贴、完工</t>
  </si>
  <si>
    <t>M16</t>
  </si>
  <si>
    <t>短视频·门店带看</t>
  </si>
  <si>
    <t>9:16，1080×1920，15-30s，无水印</t>
  </si>
  <si>
    <t>置顶用</t>
  </si>
  <si>
    <t>M17</t>
  </si>
  <si>
    <t>短视频·施工过程</t>
  </si>
  <si>
    <t>9:16，15-30s，有节奏感</t>
  </si>
  <si>
    <t>M18</t>
  </si>
  <si>
    <t>短视频·前后对比</t>
  </si>
  <si>
    <t>9:16，15-30s，前 3 秒出对比</t>
  </si>
  <si>
    <t>M19</t>
  </si>
  <si>
    <t>视频封面模板</t>
  </si>
  <si>
    <t>3:4 或 9:16，大字标题</t>
  </si>
  <si>
    <t>统一风格，便于识别</t>
  </si>
  <si>
    <t>M20</t>
  </si>
  <si>
    <t>价目表图</t>
  </si>
  <si>
    <t>小红书 私信</t>
  </si>
  <si>
    <t>竖版，清晰可读</t>
  </si>
  <si>
    <t>别放平台内当商品图（易判导流）</t>
  </si>
  <si>
    <t>M21</t>
  </si>
  <si>
    <t>质保卡样式</t>
  </si>
  <si>
    <t>电子版/实物拍照</t>
  </si>
  <si>
    <t>M22</t>
  </si>
  <si>
    <t>客户好评截图</t>
  </si>
  <si>
    <t>小红书 美团</t>
  </si>
  <si>
    <t>需客户授权，打码手机号</t>
  </si>
  <si>
    <t>未经授权别用</t>
  </si>
  <si>
    <t>合规红线与话术模板</t>
  </si>
  <si>
    <t>贴膜店的文案有 80% 是固定的，把这页的东西背下来，就不会因为一句话被驳回或被差评。</t>
  </si>
  <si>
    <t>一、禁写清单（写了就驳回，或者会被截图挂）</t>
  </si>
  <si>
    <t>不要写</t>
  </si>
  <si>
    <t>改成这样写</t>
  </si>
  <si>
    <t>绝对化用语</t>
  </si>
  <si>
    <t>最好 / 第一 / 顶级 / 唯一 / 永久 / 永不 / 100%</t>
  </si>
  <si>
    <t>“5 年质保”“行业常用工艺”——用可验证的事实代替形容词</t>
  </si>
  <si>
    <t>效果承诺</t>
  </si>
  <si>
    <t>保证不掉色 / 永不发黄 / 绝对不留胶 / 保证不褪色</t>
  </si>
  <si>
    <t>“正常使用下，5 年内出现起泡、脱胶可免费返工”</t>
  </si>
  <si>
    <t>虚假对比</t>
  </si>
  <si>
    <t>同行用的都是劣质膜 / 别家都是假货</t>
  </si>
  <si>
    <t>“本店使用 XX 品牌授权膜料，可现场验货”</t>
  </si>
  <si>
    <t>价格误导</t>
  </si>
  <si>
    <t>原价 9980 现价 1999（原价虚高）</t>
  </si>
  <si>
    <t>门市价与团购价都真实，折扣幅度别超过 5 折</t>
  </si>
  <si>
    <t>安全功效</t>
  </si>
  <si>
    <t>防爆膜=玻璃不会碎 / 贴了不会出事故</t>
  </si>
  <si>
    <t>“玻璃碎裂时减少碎片飞溅”</t>
  </si>
  <si>
    <t>站外导流</t>
  </si>
  <si>
    <t>图片/文案里留微信、二维码、手机号</t>
  </si>
  <si>
    <t>平台内私信沟通；电话只在门店信息字段里填</t>
  </si>
  <si>
    <t>医疗化表述</t>
  </si>
  <si>
    <t>除甲醛 / 杀菌 / 净化空气（膜不具备）</t>
  </si>
  <si>
    <t>“隔热、隔紫外线、提升隐私性”</t>
  </si>
  <si>
    <t>二、必须写清的 7 件事（写清了，退款和差评少一半）</t>
  </si>
  <si>
    <t>要写清的</t>
  </si>
  <si>
    <t>写法示例</t>
  </si>
  <si>
    <t>1</t>
  </si>
  <si>
    <t>购买后 90 天内有效，逾期未使用可申请退款</t>
  </si>
  <si>
    <t>2</t>
  </si>
  <si>
    <t>周一至周日 09:00-18:00；节假日正常营业（春节前 3 天停接）</t>
  </si>
  <si>
    <t>3</t>
  </si>
  <si>
    <t>需提前 1 天电话预约；隐形车衣/改色需提前 3 天并预留 1-2 天施工时间</t>
  </si>
  <si>
    <t>4</t>
  </si>
  <si>
    <t>加价规则</t>
  </si>
  <si>
    <t>SUV 加 200 元，MPV 加 300 元，超跑/改装车另议；已含施工费</t>
  </si>
  <si>
    <t>5</t>
  </si>
  <si>
    <t>退款边界</t>
  </si>
  <si>
    <t>未施工可随时退；已裁膜或已开始施工不可退</t>
  </si>
  <si>
    <t>6</t>
  </si>
  <si>
    <t>质保边界</t>
  </si>
  <si>
    <t>保起泡、脱胶、开裂、明显褪色；不含人为剐蹭、事故、鸟粪腐蚀未及时清理</t>
  </si>
  <si>
    <t>7</t>
  </si>
  <si>
    <t>留车与保管</t>
  </si>
  <si>
    <t>车衣/改色需留车 1-3 天，期间车辆停放在店内车间并有监控；贵重物品请带走</t>
  </si>
  <si>
    <t>三、标题与文案公式</t>
  </si>
  <si>
    <t>用途</t>
  </si>
  <si>
    <t>公式</t>
  </si>
  <si>
    <t>示例</t>
  </si>
  <si>
    <t>抖音/快手标题</t>
  </si>
  <si>
    <t>【品牌】+项目+规格+车型/质保</t>
  </si>
  <si>
    <t>【卡皮诺】隐形车衣全车 TPU 7.5mil 5年质保 天津西青</t>
  </si>
  <si>
    <t>小红书标题</t>
  </si>
  <si>
    <t>人群/场景 + 反常识或数字 + 地点</t>
  </si>
  <si>
    <t>天津贴膜别乱选｜这3个参数看不懂，等于白花钱</t>
  </si>
  <si>
    <t>闲鱼标题</t>
  </si>
  <si>
    <t>地域+项目+车型+卖点（前15字最关键）</t>
  </si>
  <si>
    <t>天津汽车贴膜 隐形车衣全车 TPU 5年质保 到店施工</t>
  </si>
  <si>
    <t>淘宝标题</t>
  </si>
  <si>
    <t>项目词+品牌+规格+质保+地域（30字内）</t>
  </si>
  <si>
    <t>汽车贴膜全车隐形车衣TPU防刮自修复5年质保天津到店</t>
  </si>
  <si>
    <t>参数 + 结果，不超过 15 字</t>
  </si>
  <si>
    <t>7.5mil 厚度 · 防刮提亮 · 5 年质保</t>
  </si>
  <si>
    <t>详情第一段</t>
  </si>
  <si>
    <t>先说包含什么，再说谁适合</t>
  </si>
  <si>
    <t>本套餐含：全车漆面精洗 1 次 + 专车裁膜 + 全车贴覆 + 边角包覆 + 5 年质保。适合新车、想保护原厂漆的车主。</t>
  </si>
  <si>
    <t>四、私信首响话术（30 秒内发出，决定成不成单）</t>
  </si>
  <si>
    <t>场景</t>
  </si>
  <si>
    <t>话术</t>
  </si>
  <si>
    <t>要点</t>
  </si>
  <si>
    <t>问价（玻璃膜）</t>
  </si>
  <si>
    <t>您好，玻璃膜我们分三档：入门 8xx、主流 1xxx（质保 5 年）、高隔热 2xxx。方便说下车型和想要的效果吗（隔热/隐私/防爆）？我给您报准确价。</t>
  </si>
  <si>
    <t>先给区间，再要车型——不要一上来报最低价</t>
  </si>
  <si>
    <t>问价（车衣/改色）</t>
  </si>
  <si>
    <t>车衣看车型和膜料，轿车 2xxx 起，SUV 上浮 200-300。您是什么车？我发几组同车型的完工图给您看看效果。</t>
  </si>
  <si>
    <t>用同车型案例代替报价，转化更高</t>
  </si>
  <si>
    <t>问质保</t>
  </si>
  <si>
    <t>质保 5 年，保起泡、脱胶、开裂和明显褪色，出问题免费返工；人为剐蹭和事故不在范围内。质保卡会写编号，凭卡和车牌就能查。</t>
  </si>
  <si>
    <t>把“不保什么”也说清楚，反而更可信</t>
  </si>
  <si>
    <t>问能不能便宜</t>
  </si>
  <si>
    <t>线上这个价是含施工的实价，能送的是：免费旧膜撕除 + 一次内饰清洁。要不您先约个时间到店看膜？不满意不施工。</t>
  </si>
  <si>
    <t>少降价，多送东西；把决策推到到店</t>
  </si>
  <si>
    <t>客户嫌远 / 犹豫</t>
  </si>
  <si>
    <t>我们在西青大寺，津港公路边上，导航搜“津豪汽车贴膜改装”就到，门口能停车。您如果时间不方便，可以先加个预约时间，到店不满意随时可退。</t>
  </si>
  <si>
    <t>给明确导航 + 可退承诺，降低决策成本</t>
  </si>
  <si>
    <t>五、贴膜店专属注意（这几条最容易翻车）</t>
  </si>
  <si>
    <t>注意点</t>
  </si>
  <si>
    <t>怎么处理</t>
  </si>
  <si>
    <t>原车漆/旧膜状况</t>
  </si>
  <si>
    <t>施工前全车拍照录像，旧膜老化、漆面有伤的当场和客户确认并记录，避免事后扯皮</t>
  </si>
  <si>
    <t>拆装风险</t>
  </si>
  <si>
    <t>内饰改装、音响升级涉及拆装卡扣，事先说明“可能有轻微使用痕迹”，并写入使用规则</t>
  </si>
  <si>
    <t>施工周期</t>
  </si>
  <si>
    <t>车衣/改色必须写清留车天数，且说明“以车况为准可能顺延”，别承诺“今天一定好”</t>
  </si>
  <si>
    <t>膜料真伪</t>
  </si>
  <si>
    <t>准备授权书与膜料包装照，客户问就发；这比任何文案都有说服力</t>
  </si>
  <si>
    <t>前挡透光率</t>
  </si>
  <si>
    <t>前挡按法规需 ≥70%，别推深色前挡膜，也别宣传“全车最深色”</t>
  </si>
  <si>
    <t>雨季/低温</t>
  </si>
  <si>
    <t>低温施工需在车间内，写清“气温低于 5℃ 建议改期”，减少返工争议</t>
  </si>
  <si>
    <t>发布进度追踪（自动统计）</t>
  </si>
  <si>
    <t>总项数</t>
  </si>
  <si>
    <t>已上架</t>
  </si>
  <si>
    <t>审核中</t>
  </si>
  <si>
    <t>被驳回</t>
  </si>
  <si>
    <t>完成率</t>
  </si>
  <si>
    <t>平台</t>
  </si>
  <si>
    <t>账号 / 门店</t>
  </si>
  <si>
    <t>套餐</t>
  </si>
  <si>
    <t>上架状态</t>
  </si>
  <si>
    <t>提交日期</t>
  </si>
  <si>
    <t>审核结果</t>
  </si>
  <si>
    <t>驳回原因 / 待补材料</t>
  </si>
  <si>
    <t>商品链接</t>
  </si>
  <si>
    <t>负责人</t>
  </si>
  <si>
    <t>玻璃隔热膜</t>
  </si>
  <si>
    <t>未开始</t>
  </si>
  <si>
    <t>隐形车衣（TPU）</t>
  </si>
  <si>
    <t>车身改色膜</t>
  </si>
  <si>
    <t>大众点评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</si>
</sst>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  <numFmt numFmtId="178" formatCode="\¥#,##0.00"/>
    <numFmt numFmtId="179" formatCode="0.0"/>
    <numFmt numFmtId="180" formatCode="\¥#,##0"/>
  </numFmts>
  <fonts count="40">
    <font>
      <sz val="11"/>
      <color theme="1"/>
      <name val="Arial Unicode MS"/>
      <charset val="134"/>
    </font>
    <font>
      <b/>
      <sz val="15"/>
      <color rgb="FFFFFFFF"/>
      <name val="微软雅黑"/>
      <charset val="1"/>
    </font>
    <font>
      <sz val="9"/>
      <color rgb="FF595959"/>
      <name val="微软雅黑"/>
      <charset val="1"/>
    </font>
    <font>
      <b/>
      <sz val="12"/>
      <color rgb="FF1F3864"/>
      <name val="微软雅黑"/>
      <charset val="1"/>
    </font>
    <font>
      <b/>
      <sz val="10"/>
      <color rgb="FFFFFFFF"/>
      <name val="微软雅黑"/>
      <charset val="1"/>
    </font>
    <font>
      <b/>
      <sz val="10"/>
      <name val="微软雅黑"/>
      <charset val="1"/>
    </font>
    <font>
      <sz val="10"/>
      <name val="微软雅黑"/>
      <charset val="1"/>
    </font>
    <font>
      <sz val="10"/>
      <color rgb="FF595959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3864"/>
      <name val="微软雅黑"/>
      <charset val="1"/>
    </font>
    <font>
      <sz val="9"/>
      <name val="微软雅黑"/>
      <charset val="1"/>
    </font>
    <font>
      <sz val="9"/>
      <color rgb="FF808080"/>
      <name val="微软雅黑"/>
      <charset val="1"/>
    </font>
    <font>
      <b/>
      <sz val="9"/>
      <color rgb="FF006100"/>
      <name val="微软雅黑"/>
      <charset val="1"/>
    </font>
    <font>
      <sz val="9"/>
      <color rgb="FF404040"/>
      <name val="微软雅黑"/>
      <charset val="1"/>
    </font>
    <font>
      <sz val="9"/>
      <color rgb="FF9C0006"/>
      <name val="微软雅黑"/>
      <charset val="1"/>
    </font>
    <font>
      <sz val="11"/>
      <color theme="1"/>
      <name val="Calibri"/>
      <charset val="1"/>
    </font>
    <font>
      <b/>
      <sz val="10"/>
      <color rgb="FF006100"/>
      <name val="微软雅黑"/>
      <charset val="1"/>
    </font>
    <font>
      <b/>
      <sz val="10"/>
      <color rgb="FF9C6500"/>
      <name val="微软雅黑"/>
      <charset val="1"/>
    </font>
    <font>
      <b/>
      <sz val="10"/>
      <color rgb="FF9C0006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2F5597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2F5597"/>
        <bgColor rgb="FF4472C4"/>
      </patternFill>
    </fill>
    <fill>
      <patternFill patternType="solid">
        <fgColor rgb="FFD9E2F3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Border="0" applyAlignment="0" applyProtection="0"/>
    <xf numFmtId="44" fontId="19" fillId="0" borderId="0" applyBorder="0" applyAlignment="0" applyProtection="0"/>
    <xf numFmtId="9" fontId="19" fillId="0" borderId="0" applyBorder="0" applyAlignment="0" applyProtection="0"/>
    <xf numFmtId="41" fontId="19" fillId="0" borderId="0" applyBorder="0" applyAlignment="0" applyProtection="0"/>
    <xf numFmtId="42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5" applyNumberFormat="0" applyAlignment="0" applyProtection="0">
      <alignment vertical="center"/>
    </xf>
    <xf numFmtId="0" fontId="30" fillId="10" borderId="6" applyNumberFormat="0" applyAlignment="0" applyProtection="0">
      <alignment vertical="center"/>
    </xf>
    <xf numFmtId="0" fontId="31" fillId="10" borderId="5" applyNumberFormat="0" applyAlignment="0" applyProtection="0">
      <alignment vertical="center"/>
    </xf>
    <xf numFmtId="0" fontId="32" fillId="11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0" fillId="4" borderId="1" xfId="0" applyFill="1" applyBorder="1" applyAlignment="1">
      <alignment horizontal="left" vertical="center" wrapText="1" indent="1"/>
    </xf>
    <xf numFmtId="1" fontId="0" fillId="4" borderId="1" xfId="0" applyNumberFormat="1" applyFill="1" applyBorder="1" applyAlignment="1">
      <alignment horizontal="left" vertical="center" wrapText="1" indent="1"/>
    </xf>
    <xf numFmtId="1" fontId="0" fillId="0" borderId="1" xfId="0" applyNumberFormat="1" applyBorder="1" applyAlignment="1">
      <alignment horizontal="left" vertical="center" wrapText="1" indent="1"/>
    </xf>
    <xf numFmtId="178" fontId="0" fillId="4" borderId="1" xfId="0" applyNumberFormat="1" applyFill="1" applyBorder="1" applyAlignment="1">
      <alignment horizontal="left" vertical="center" wrapText="1" indent="1"/>
    </xf>
    <xf numFmtId="178" fontId="0" fillId="0" borderId="1" xfId="0" applyNumberFormat="1" applyBorder="1" applyAlignment="1">
      <alignment horizontal="left" vertical="center" wrapText="1" indent="1"/>
    </xf>
    <xf numFmtId="178" fontId="15" fillId="3" borderId="1" xfId="0" applyNumberFormat="1" applyFont="1" applyFill="1" applyBorder="1" applyAlignment="1">
      <alignment horizontal="left" vertical="center" wrapText="1" indent="1"/>
    </xf>
    <xf numFmtId="176" fontId="15" fillId="3" borderId="1" xfId="0" applyNumberFormat="1" applyFont="1" applyFill="1" applyBorder="1" applyAlignment="1">
      <alignment horizontal="left" vertical="center" wrapText="1" indent="1"/>
    </xf>
    <xf numFmtId="179" fontId="0" fillId="4" borderId="1" xfId="0" applyNumberFormat="1" applyFill="1" applyBorder="1" applyAlignment="1">
      <alignment horizontal="left" vertical="center" wrapText="1" indent="1"/>
    </xf>
    <xf numFmtId="179" fontId="0" fillId="0" borderId="1" xfId="0" applyNumberFormat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180" fontId="6" fillId="4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1"/>
    </xf>
    <xf numFmtId="0" fontId="1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 indent="1"/>
    </xf>
    <xf numFmtId="0" fontId="17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name val="微软雅黑"/>
        <scheme val="none"/>
        <charset val="1"/>
        <family val="0"/>
        <b val="1"/>
        <sz val="9"/>
        <color rgb="FF006100"/>
      </font>
      <fill>
        <patternFill patternType="solid">
          <bgColor rgb="FFC6EFCE"/>
        </patternFill>
      </fill>
    </dxf>
    <dxf>
      <font>
        <name val="微软雅黑"/>
        <scheme val="none"/>
        <charset val="1"/>
        <family val="0"/>
        <sz val="9"/>
        <color rgb="FF006100"/>
      </font>
      <fill>
        <patternFill patternType="solid">
          <bgColor rgb="FFC6EFCE"/>
        </patternFill>
      </fill>
    </dxf>
    <dxf>
      <font>
        <name val="微软雅黑"/>
        <scheme val="none"/>
        <charset val="1"/>
        <family val="0"/>
        <sz val="9"/>
        <color rgb="FF9C0006"/>
      </font>
      <fill>
        <patternFill patternType="solid">
          <bgColor rgb="FFFCE4D6"/>
        </patternFill>
      </fill>
    </dxf>
    <dxf>
      <font>
        <name val="微软雅黑"/>
        <scheme val="none"/>
        <charset val="1"/>
        <family val="0"/>
        <sz val="9"/>
        <color rgb="FF808080"/>
      </font>
    </dxf>
    <dxf>
      <font>
        <name val="微软雅黑"/>
        <scheme val="none"/>
        <charset val="1"/>
        <family val="0"/>
        <sz val="10"/>
        <color rgb="FF006100"/>
      </font>
      <fill>
        <patternFill patternType="solid">
          <bgColor rgb="FFC6EFCE"/>
        </patternFill>
      </fill>
    </dxf>
    <dxf>
      <font>
        <name val="微软雅黑"/>
        <scheme val="none"/>
        <charset val="1"/>
        <family val="0"/>
        <sz val="1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"/>
        <family val="0"/>
        <sz val="10"/>
        <color rgb="FF9C6500"/>
      </font>
      <fill>
        <patternFill patternType="solid">
          <bgColor rgb="FFFFEB9C"/>
        </patternFill>
      </fill>
    </dxf>
    <dxf>
      <font>
        <name val="微软雅黑"/>
        <scheme val="none"/>
        <charset val="1"/>
        <family val="0"/>
        <sz val="10"/>
        <color rgb="FF808080"/>
      </font>
    </dxf>
    <dxf>
      <font>
        <name val="微软雅黑"/>
        <scheme val="none"/>
        <charset val="1"/>
        <family val="0"/>
        <b val="1"/>
        <sz val="10"/>
        <color rgb="FF006100"/>
      </font>
      <fill>
        <patternFill patternType="solid">
          <bgColor rgb="FFC6EFCE"/>
        </patternFill>
      </fill>
    </dxf>
    <dxf>
      <font>
        <name val="微软雅黑"/>
        <scheme val="none"/>
        <charset val="1"/>
        <family val="0"/>
        <b val="1"/>
        <sz val="1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"/>
        <family val="0"/>
        <b val="1"/>
        <sz val="10"/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808080"/>
      <rgbColor rgb="009999FF"/>
      <rgbColor rgb="007030A0"/>
      <rgbColor rgb="00FFF2CC"/>
      <rgbColor rgb="00F2F2F2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CE4D6"/>
      <rgbColor rgb="00C6EFCE"/>
      <rgbColor rgb="00FFEB9C"/>
      <rgbColor rgb="0099CCFF"/>
      <rgbColor rgb="00FF99CC"/>
      <rgbColor rgb="00CC99FF"/>
      <rgbColor rgb="00FFC7CE"/>
      <rgbColor rgb="004472C4"/>
      <rgbColor rgb="0033CCCC"/>
      <rgbColor rgb="0099CC00"/>
      <rgbColor rgb="00FFC000"/>
      <rgbColor rgb="00FF9900"/>
      <rgbColor rgb="00C55A11"/>
      <rgbColor rgb="00595959"/>
      <rgbColor rgb="0070AD47"/>
      <rgbColor rgb="001F3864"/>
      <rgbColor rgb="0000B050"/>
      <rgbColor rgb="00003300"/>
      <rgbColor rgb="00333300"/>
      <rgbColor rgb="00993300"/>
      <rgbColor rgb="00993366"/>
      <rgbColor rgb="002F5597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D36"/>
  <sheetViews>
    <sheetView showGridLines="0" zoomScale="131" zoomScaleNormal="131" workbookViewId="0">
      <pane ySplit="3" topLeftCell="A32" activePane="bottomLeft" state="frozen"/>
      <selection/>
      <selection pane="bottomLeft" activeCell="B43" sqref="B43"/>
    </sheetView>
  </sheetViews>
  <sheetFormatPr defaultColWidth="7.8984375" defaultRowHeight="16" outlineLevelCol="3"/>
  <cols>
    <col min="1" max="1" width="20.0078125" customWidth="1"/>
    <col min="2" max="2" width="12.7421875" customWidth="1"/>
    <col min="3" max="3" width="41.8515625" customWidth="1"/>
    <col min="4" max="4" width="56.40625" customWidth="1"/>
  </cols>
  <sheetData>
    <row r="1" ht="33.75" customHeight="1" spans="1:4">
      <c r="A1" s="1" t="s">
        <v>0</v>
      </c>
      <c r="B1" s="1"/>
      <c r="C1" s="1"/>
      <c r="D1" s="1"/>
    </row>
    <row r="2" ht="25.5" customHeight="1" spans="1:4">
      <c r="A2" s="13" t="s">
        <v>1</v>
      </c>
      <c r="B2" s="13"/>
      <c r="C2" s="13"/>
      <c r="D2" s="13"/>
    </row>
    <row r="3" ht="31.5" customHeight="1" spans="1:4">
      <c r="A3" s="5" t="s">
        <v>2</v>
      </c>
      <c r="B3" s="5"/>
      <c r="C3" s="5" t="s">
        <v>3</v>
      </c>
      <c r="D3" s="5" t="s">
        <v>4</v>
      </c>
    </row>
    <row r="4" ht="33.75" customHeight="1" spans="1:4">
      <c r="A4" s="40" t="s">
        <v>5</v>
      </c>
      <c r="B4" s="41"/>
      <c r="C4" s="41" t="s">
        <v>6</v>
      </c>
      <c r="D4" s="41" t="s">
        <v>7</v>
      </c>
    </row>
    <row r="5" ht="33.75" customHeight="1" spans="1:4">
      <c r="A5" s="40" t="s">
        <v>8</v>
      </c>
      <c r="B5" s="41"/>
      <c r="C5" s="41" t="s">
        <v>9</v>
      </c>
      <c r="D5" s="41" t="s">
        <v>10</v>
      </c>
    </row>
    <row r="6" ht="33.75" customHeight="1" spans="1:4">
      <c r="A6" s="42" t="s">
        <v>11</v>
      </c>
      <c r="B6" s="43"/>
      <c r="C6" s="43" t="s">
        <v>12</v>
      </c>
      <c r="D6" s="43" t="s">
        <v>13</v>
      </c>
    </row>
    <row r="7" ht="33.75" customHeight="1" spans="1:4">
      <c r="A7" s="42" t="s">
        <v>14</v>
      </c>
      <c r="B7" s="43"/>
      <c r="C7" s="43" t="s">
        <v>15</v>
      </c>
      <c r="D7" s="43" t="s">
        <v>16</v>
      </c>
    </row>
    <row r="8" ht="33.75" customHeight="1" spans="1:4">
      <c r="A8" s="40" t="s">
        <v>17</v>
      </c>
      <c r="B8" s="41"/>
      <c r="C8" s="41" t="s">
        <v>18</v>
      </c>
      <c r="D8" s="41" t="s">
        <v>19</v>
      </c>
    </row>
    <row r="9" ht="33.75" customHeight="1" spans="1:4">
      <c r="A9" s="42" t="s">
        <v>20</v>
      </c>
      <c r="B9" s="43"/>
      <c r="C9" s="43" t="s">
        <v>21</v>
      </c>
      <c r="D9" s="43" t="s">
        <v>22</v>
      </c>
    </row>
    <row r="10" ht="33.75" customHeight="1" spans="1:4">
      <c r="A10" s="42" t="s">
        <v>23</v>
      </c>
      <c r="B10" s="43"/>
      <c r="C10" s="43" t="s">
        <v>24</v>
      </c>
      <c r="D10" s="43" t="s">
        <v>25</v>
      </c>
    </row>
    <row r="11" ht="18.75" customHeight="1"/>
    <row r="12" ht="24" customHeight="1" spans="1:4">
      <c r="A12" s="44" t="s">
        <v>26</v>
      </c>
      <c r="B12" s="44"/>
      <c r="C12" s="44"/>
      <c r="D12" s="44"/>
    </row>
    <row r="13" ht="18.75" customHeight="1" spans="1:4">
      <c r="A13" s="20" t="s">
        <v>27</v>
      </c>
      <c r="B13" s="45"/>
    </row>
    <row r="14" ht="18.75" customHeight="1" spans="1:4">
      <c r="A14" s="46" t="s">
        <v>28</v>
      </c>
      <c r="B14" s="45"/>
    </row>
    <row r="15" ht="31.5" customHeight="1" spans="1:4">
      <c r="A15" s="47" t="s">
        <v>29</v>
      </c>
      <c r="B15" s="45" t="s">
        <v>30</v>
      </c>
    </row>
    <row r="16" ht="18.75" customHeight="1"/>
    <row r="17" ht="24" customHeight="1" spans="1:4">
      <c r="A17" s="44" t="s">
        <v>31</v>
      </c>
      <c r="B17" s="44"/>
      <c r="C17" s="44"/>
      <c r="D17" s="44"/>
    </row>
    <row r="18" ht="42" customHeight="1" spans="1:4">
      <c r="A18" s="16" t="s">
        <v>32</v>
      </c>
      <c r="B18" s="19" t="s">
        <v>33</v>
      </c>
      <c r="C18" s="19"/>
      <c r="D18" s="19"/>
    </row>
    <row r="19" ht="42" customHeight="1" spans="1:4">
      <c r="A19" s="16" t="s">
        <v>34</v>
      </c>
      <c r="B19" s="19" t="s">
        <v>35</v>
      </c>
      <c r="C19" s="19"/>
      <c r="D19" s="19"/>
    </row>
    <row r="20" ht="42" customHeight="1" spans="1:4">
      <c r="A20" s="16" t="s">
        <v>36</v>
      </c>
      <c r="B20" s="19" t="s">
        <v>37</v>
      </c>
      <c r="C20" s="19"/>
      <c r="D20" s="19"/>
    </row>
    <row r="21" ht="18.75" customHeight="1"/>
    <row r="22" ht="24" customHeight="1" spans="1:4">
      <c r="A22" s="44" t="s">
        <v>38</v>
      </c>
      <c r="B22" s="44"/>
      <c r="C22" s="44"/>
      <c r="D22" s="44"/>
    </row>
    <row r="23" ht="18.75" customHeight="1" spans="1:4">
      <c r="A23" s="5" t="s">
        <v>39</v>
      </c>
      <c r="B23" s="5" t="s">
        <v>40</v>
      </c>
      <c r="C23" s="5" t="s">
        <v>41</v>
      </c>
    </row>
    <row r="24" ht="45" customHeight="1" spans="1:4">
      <c r="A24" s="16" t="s">
        <v>42</v>
      </c>
      <c r="B24" s="48" t="s">
        <v>43</v>
      </c>
      <c r="C24" s="21" t="s">
        <v>44</v>
      </c>
    </row>
    <row r="25" ht="18.75" customHeight="1" spans="1:4">
      <c r="A25" s="16" t="s">
        <v>45</v>
      </c>
      <c r="B25" s="48" t="s">
        <v>46</v>
      </c>
      <c r="C25" s="49">
        <v>2680</v>
      </c>
    </row>
    <row r="26" ht="18.75" customHeight="1" spans="1:4">
      <c r="A26" s="16" t="s">
        <v>47</v>
      </c>
      <c r="B26" s="48" t="s">
        <v>48</v>
      </c>
      <c r="C26" s="49">
        <v>6680</v>
      </c>
    </row>
    <row r="27" ht="31.5" customHeight="1" spans="1:4">
      <c r="A27" s="16" t="s">
        <v>49</v>
      </c>
      <c r="B27" s="48" t="s">
        <v>50</v>
      </c>
      <c r="C27" s="21" t="s">
        <v>51</v>
      </c>
    </row>
    <row r="28" ht="18.75" customHeight="1" spans="1:4">
      <c r="A28" s="16" t="s">
        <v>52</v>
      </c>
      <c r="B28" s="48" t="s">
        <v>53</v>
      </c>
      <c r="C28" s="49">
        <v>24</v>
      </c>
    </row>
    <row r="29" ht="18.75" customHeight="1"/>
    <row r="30" ht="24" customHeight="1" spans="1:4">
      <c r="A30" s="44"/>
      <c r="B30" s="44"/>
      <c r="C30" s="44"/>
      <c r="D30" s="44"/>
    </row>
    <row r="31" ht="45.75" customHeight="1" spans="1:4">
      <c r="A31" s="50"/>
      <c r="B31" s="51"/>
      <c r="C31" s="52"/>
      <c r="D31" s="52"/>
    </row>
    <row r="32" ht="45.75" customHeight="1" spans="1:4">
      <c r="A32" s="50"/>
      <c r="B32" s="53"/>
      <c r="C32" s="52"/>
      <c r="D32" s="52"/>
    </row>
    <row r="33" ht="45.75" customHeight="1" spans="1:4">
      <c r="A33" s="50"/>
      <c r="B33" s="53"/>
      <c r="C33" s="52"/>
      <c r="D33" s="52"/>
    </row>
    <row r="34" ht="45.75" customHeight="1" spans="1:4">
      <c r="A34" s="50"/>
      <c r="B34" s="54"/>
      <c r="C34" s="52"/>
      <c r="D34" s="52"/>
    </row>
    <row r="35" ht="45.75" customHeight="1" spans="1:4">
      <c r="A35" s="50"/>
      <c r="B35" s="54"/>
      <c r="C35" s="52"/>
      <c r="D35" s="52"/>
    </row>
    <row r="36" ht="45.75" customHeight="1" spans="1:4">
      <c r="A36" s="50"/>
      <c r="B36" s="54"/>
      <c r="C36" s="52"/>
      <c r="D36" s="52"/>
    </row>
  </sheetData>
  <mergeCells count="15">
    <mergeCell ref="A1:D1"/>
    <mergeCell ref="A2:D2"/>
    <mergeCell ref="A12:D12"/>
    <mergeCell ref="A17:D17"/>
    <mergeCell ref="B18:D18"/>
    <mergeCell ref="B19:D19"/>
    <mergeCell ref="B20:D20"/>
    <mergeCell ref="A22:D22"/>
    <mergeCell ref="A30:D30"/>
    <mergeCell ref="C31:D31"/>
    <mergeCell ref="C32:D32"/>
    <mergeCell ref="C33:D33"/>
    <mergeCell ref="C34:D34"/>
    <mergeCell ref="C35:D35"/>
    <mergeCell ref="C36:D36"/>
  </mergeCell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2CC"/>
    <pageSetUpPr fitToPage="1"/>
  </sheetPr>
  <dimension ref="A1:G55"/>
  <sheetViews>
    <sheetView workbookViewId="0">
      <pane xSplit="2" ySplit="3" topLeftCell="C43" activePane="bottomRight" state="frozen"/>
      <selection/>
      <selection pane="topRight"/>
      <selection pane="bottomLeft"/>
      <selection pane="bottomRight" activeCell="E13" sqref="E13"/>
    </sheetView>
  </sheetViews>
  <sheetFormatPr defaultColWidth="7.8984375" defaultRowHeight="16" outlineLevelCol="6"/>
  <cols>
    <col min="1" max="1" width="12.7421875" customWidth="1"/>
    <col min="2" max="2" width="20.0078125" customWidth="1"/>
    <col min="3" max="3" width="7.28125" customWidth="1"/>
    <col min="4" max="4" width="43.671875" customWidth="1"/>
    <col min="5" max="5" width="27.296875" customWidth="1"/>
    <col min="6" max="6" width="20.0078125" customWidth="1"/>
    <col min="7" max="7" width="23.65625" customWidth="1"/>
  </cols>
  <sheetData>
    <row r="1" ht="33.75" customHeight="1" spans="1:7">
      <c r="A1" s="1" t="s">
        <v>54</v>
      </c>
      <c r="B1" s="1"/>
      <c r="C1" s="1"/>
      <c r="D1" s="1"/>
      <c r="E1" s="1"/>
      <c r="F1" s="1"/>
      <c r="G1" s="1"/>
    </row>
    <row r="2" ht="25.5" customHeight="1" spans="1:7">
      <c r="A2" s="13" t="s">
        <v>55</v>
      </c>
      <c r="B2" s="13"/>
      <c r="C2" s="13"/>
      <c r="D2" s="13"/>
      <c r="E2" s="13"/>
      <c r="F2" s="13"/>
      <c r="G2" s="13"/>
    </row>
    <row r="3" ht="31.5" customHeight="1" spans="1:7">
      <c r="A3" s="5" t="s">
        <v>56</v>
      </c>
      <c r="B3" s="5" t="s">
        <v>39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</row>
    <row r="4" ht="21.75" customHeight="1" spans="1:7">
      <c r="A4" s="27" t="s">
        <v>62</v>
      </c>
      <c r="B4" s="27"/>
      <c r="C4" s="27"/>
      <c r="D4" s="27"/>
      <c r="E4" s="27"/>
      <c r="F4" s="27"/>
      <c r="G4" s="27"/>
    </row>
    <row r="5" ht="25.5" customHeight="1" spans="1:7">
      <c r="A5" s="19" t="s">
        <v>62</v>
      </c>
      <c r="B5" s="16" t="s">
        <v>63</v>
      </c>
      <c r="C5" s="7" t="s">
        <v>57</v>
      </c>
      <c r="D5" s="19" t="s">
        <v>64</v>
      </c>
      <c r="E5" s="21" t="s">
        <v>65</v>
      </c>
      <c r="F5" s="7" t="s">
        <v>66</v>
      </c>
      <c r="G5" s="19"/>
    </row>
    <row r="6" ht="57.75" customHeight="1" spans="1:7">
      <c r="A6" s="19" t="s">
        <v>62</v>
      </c>
      <c r="B6" s="16" t="s">
        <v>67</v>
      </c>
      <c r="C6" s="7" t="s">
        <v>57</v>
      </c>
      <c r="D6" s="19" t="s">
        <v>68</v>
      </c>
      <c r="E6" s="21" t="s">
        <v>69</v>
      </c>
      <c r="F6" s="7" t="s">
        <v>66</v>
      </c>
      <c r="G6" s="19" t="s">
        <v>70</v>
      </c>
    </row>
    <row r="7" ht="31.5" customHeight="1" spans="1:7">
      <c r="A7" s="19" t="s">
        <v>62</v>
      </c>
      <c r="B7" s="16" t="s">
        <v>71</v>
      </c>
      <c r="C7" s="7" t="s">
        <v>57</v>
      </c>
      <c r="D7" s="19" t="s">
        <v>72</v>
      </c>
      <c r="E7" s="21" t="s">
        <v>73</v>
      </c>
      <c r="F7" s="7" t="s">
        <v>66</v>
      </c>
      <c r="G7" s="19"/>
    </row>
    <row r="8" ht="31.5" customHeight="1" spans="1:7">
      <c r="A8" s="19" t="s">
        <v>62</v>
      </c>
      <c r="B8" s="16" t="s">
        <v>74</v>
      </c>
      <c r="C8" s="7" t="s">
        <v>57</v>
      </c>
      <c r="D8" s="19" t="s">
        <v>75</v>
      </c>
      <c r="E8" s="21" t="s">
        <v>76</v>
      </c>
      <c r="F8" s="7" t="s">
        <v>66</v>
      </c>
      <c r="G8" s="19" t="s">
        <v>77</v>
      </c>
    </row>
    <row r="9" ht="31.5" customHeight="1" spans="1:7">
      <c r="A9" s="19" t="s">
        <v>62</v>
      </c>
      <c r="B9" s="16" t="s">
        <v>78</v>
      </c>
      <c r="C9" s="7" t="s">
        <v>57</v>
      </c>
      <c r="D9" s="19" t="s">
        <v>79</v>
      </c>
      <c r="E9" s="21" t="s">
        <v>80</v>
      </c>
      <c r="F9" s="7" t="s">
        <v>66</v>
      </c>
      <c r="G9" s="19" t="s">
        <v>81</v>
      </c>
    </row>
    <row r="10" ht="31.5" customHeight="1" spans="1:7">
      <c r="A10" s="19" t="s">
        <v>62</v>
      </c>
      <c r="B10" s="16" t="s">
        <v>82</v>
      </c>
      <c r="C10" s="7" t="s">
        <v>57</v>
      </c>
      <c r="D10" s="19" t="s">
        <v>83</v>
      </c>
      <c r="E10" s="21" t="s">
        <v>84</v>
      </c>
      <c r="F10" s="7" t="s">
        <v>66</v>
      </c>
      <c r="G10" s="19" t="s">
        <v>85</v>
      </c>
    </row>
    <row r="11" ht="45" customHeight="1" spans="1:7">
      <c r="A11" s="19" t="s">
        <v>62</v>
      </c>
      <c r="B11" s="16" t="s">
        <v>86</v>
      </c>
      <c r="C11" s="7" t="s">
        <v>57</v>
      </c>
      <c r="D11" s="19" t="s">
        <v>87</v>
      </c>
      <c r="E11" s="21" t="s">
        <v>88</v>
      </c>
      <c r="F11" s="7" t="s">
        <v>66</v>
      </c>
      <c r="G11" s="19"/>
    </row>
    <row r="12" ht="45" customHeight="1" spans="1:7">
      <c r="A12" s="19" t="s">
        <v>62</v>
      </c>
      <c r="B12" s="16" t="s">
        <v>89</v>
      </c>
      <c r="C12" s="7" t="s">
        <v>57</v>
      </c>
      <c r="D12" s="19" t="s">
        <v>90</v>
      </c>
      <c r="E12" s="21" t="s">
        <v>88</v>
      </c>
      <c r="F12" s="7" t="s">
        <v>66</v>
      </c>
      <c r="G12" s="19" t="s">
        <v>91</v>
      </c>
    </row>
    <row r="13" ht="45" customHeight="1" spans="1:7">
      <c r="A13" s="19" t="s">
        <v>62</v>
      </c>
      <c r="B13" s="16" t="s">
        <v>92</v>
      </c>
      <c r="C13" s="7" t="s">
        <v>57</v>
      </c>
      <c r="D13" s="19" t="s">
        <v>93</v>
      </c>
      <c r="E13" s="21" t="s">
        <v>94</v>
      </c>
      <c r="F13" s="7" t="s">
        <v>95</v>
      </c>
      <c r="G13" s="19" t="s">
        <v>96</v>
      </c>
    </row>
    <row r="14" ht="25.5" customHeight="1" spans="1:7">
      <c r="A14" s="19" t="s">
        <v>62</v>
      </c>
      <c r="B14" s="16" t="s">
        <v>97</v>
      </c>
      <c r="C14" s="7" t="s">
        <v>98</v>
      </c>
      <c r="D14" s="19" t="s">
        <v>99</v>
      </c>
      <c r="E14" s="21"/>
      <c r="F14" s="7" t="s">
        <v>66</v>
      </c>
      <c r="G14" s="19"/>
    </row>
    <row r="15" ht="21.75" customHeight="1" spans="1:7">
      <c r="A15" s="27" t="s">
        <v>100</v>
      </c>
      <c r="B15" s="27"/>
      <c r="C15" s="27"/>
      <c r="D15" s="27"/>
      <c r="E15" s="27"/>
      <c r="F15" s="27"/>
      <c r="G15" s="27"/>
    </row>
    <row r="16" ht="25.5" customHeight="1" spans="1:7">
      <c r="A16" s="19" t="s">
        <v>100</v>
      </c>
      <c r="B16" s="16" t="s">
        <v>101</v>
      </c>
      <c r="C16" s="7" t="s">
        <v>57</v>
      </c>
      <c r="D16" s="19" t="s">
        <v>102</v>
      </c>
      <c r="E16" s="21" t="s">
        <v>103</v>
      </c>
      <c r="F16" s="7" t="s">
        <v>66</v>
      </c>
      <c r="G16" s="19"/>
    </row>
    <row r="17" ht="25.5" customHeight="1" spans="1:7">
      <c r="A17" s="19" t="s">
        <v>100</v>
      </c>
      <c r="B17" s="16" t="s">
        <v>104</v>
      </c>
      <c r="C17" s="7" t="s">
        <v>98</v>
      </c>
      <c r="D17" s="19" t="s">
        <v>105</v>
      </c>
      <c r="E17" s="21" t="s">
        <v>84</v>
      </c>
      <c r="F17" s="7" t="s">
        <v>66</v>
      </c>
      <c r="G17" s="19"/>
    </row>
    <row r="18" ht="31.5" customHeight="1" spans="1:7">
      <c r="A18" s="19" t="s">
        <v>100</v>
      </c>
      <c r="B18" s="16" t="s">
        <v>106</v>
      </c>
      <c r="C18" s="7" t="s">
        <v>98</v>
      </c>
      <c r="D18" s="19" t="s">
        <v>107</v>
      </c>
      <c r="E18" s="21"/>
      <c r="F18" s="7" t="s">
        <v>66</v>
      </c>
      <c r="G18" s="19" t="s">
        <v>108</v>
      </c>
    </row>
    <row r="19" ht="21.75" customHeight="1" spans="1:7">
      <c r="A19" s="27" t="s">
        <v>109</v>
      </c>
      <c r="B19" s="27"/>
      <c r="C19" s="27"/>
      <c r="D19" s="27"/>
      <c r="E19" s="27"/>
      <c r="F19" s="27"/>
      <c r="G19" s="27"/>
    </row>
    <row r="20" ht="31.5" customHeight="1" spans="1:7">
      <c r="A20" s="19" t="s">
        <v>109</v>
      </c>
      <c r="B20" s="16" t="s">
        <v>110</v>
      </c>
      <c r="C20" s="7" t="s">
        <v>57</v>
      </c>
      <c r="D20" s="19" t="s">
        <v>111</v>
      </c>
      <c r="E20" s="21" t="s">
        <v>112</v>
      </c>
      <c r="F20" s="7" t="s">
        <v>66</v>
      </c>
      <c r="G20" s="19"/>
    </row>
    <row r="21" ht="25.5" customHeight="1" spans="1:7">
      <c r="A21" s="19" t="s">
        <v>109</v>
      </c>
      <c r="B21" s="16" t="s">
        <v>113</v>
      </c>
      <c r="C21" s="7" t="s">
        <v>57</v>
      </c>
      <c r="D21" s="19" t="s">
        <v>114</v>
      </c>
      <c r="E21" s="21"/>
      <c r="F21" s="7" t="s">
        <v>66</v>
      </c>
      <c r="G21" s="19" t="s">
        <v>115</v>
      </c>
    </row>
    <row r="22" ht="84" customHeight="1" spans="1:7">
      <c r="A22" s="19" t="s">
        <v>109</v>
      </c>
      <c r="B22" s="16" t="s">
        <v>116</v>
      </c>
      <c r="C22" s="7" t="s">
        <v>57</v>
      </c>
      <c r="D22" s="19" t="s">
        <v>117</v>
      </c>
      <c r="E22" s="21" t="s">
        <v>118</v>
      </c>
      <c r="F22" s="7" t="s">
        <v>66</v>
      </c>
      <c r="G22" s="19" t="s">
        <v>119</v>
      </c>
    </row>
    <row r="23" ht="45" customHeight="1" spans="1:7">
      <c r="A23" s="19" t="s">
        <v>109</v>
      </c>
      <c r="B23" s="16" t="s">
        <v>120</v>
      </c>
      <c r="C23" s="7" t="s">
        <v>57</v>
      </c>
      <c r="D23" s="19" t="s">
        <v>121</v>
      </c>
      <c r="E23" s="21" t="s">
        <v>122</v>
      </c>
      <c r="F23" s="7" t="s">
        <v>66</v>
      </c>
      <c r="G23" s="19" t="s">
        <v>123</v>
      </c>
    </row>
    <row r="24" ht="123" customHeight="1" spans="1:7">
      <c r="A24" s="19" t="s">
        <v>109</v>
      </c>
      <c r="B24" s="16" t="s">
        <v>124</v>
      </c>
      <c r="C24" s="7" t="s">
        <v>98</v>
      </c>
      <c r="D24" s="19" t="s">
        <v>125</v>
      </c>
      <c r="E24" s="21" t="s">
        <v>126</v>
      </c>
      <c r="F24" s="7" t="s">
        <v>127</v>
      </c>
      <c r="G24" s="19" t="s">
        <v>128</v>
      </c>
    </row>
    <row r="25" ht="25.5" customHeight="1" spans="1:7">
      <c r="A25" s="19" t="s">
        <v>109</v>
      </c>
      <c r="B25" s="16" t="s">
        <v>129</v>
      </c>
      <c r="C25" s="7" t="s">
        <v>57</v>
      </c>
      <c r="D25" s="19" t="s">
        <v>130</v>
      </c>
      <c r="E25" s="21"/>
      <c r="F25" s="7" t="s">
        <v>131</v>
      </c>
      <c r="G25" s="19"/>
    </row>
    <row r="26" ht="25.5" customHeight="1" spans="1:7">
      <c r="A26" s="19" t="s">
        <v>109</v>
      </c>
      <c r="B26" s="16" t="s">
        <v>132</v>
      </c>
      <c r="C26" s="7" t="s">
        <v>57</v>
      </c>
      <c r="D26" s="19" t="s">
        <v>133</v>
      </c>
      <c r="E26" s="21"/>
      <c r="F26" s="7" t="s">
        <v>131</v>
      </c>
      <c r="G26" s="19"/>
    </row>
    <row r="27" ht="45" customHeight="1" spans="1:7">
      <c r="A27" s="19" t="s">
        <v>109</v>
      </c>
      <c r="B27" s="16" t="s">
        <v>134</v>
      </c>
      <c r="C27" s="7" t="s">
        <v>57</v>
      </c>
      <c r="D27" s="19" t="s">
        <v>135</v>
      </c>
      <c r="E27" s="21" t="s">
        <v>136</v>
      </c>
      <c r="F27" s="7" t="s">
        <v>66</v>
      </c>
      <c r="G27" s="19"/>
    </row>
    <row r="28" ht="31.5" customHeight="1" spans="1:7">
      <c r="A28" s="19" t="s">
        <v>109</v>
      </c>
      <c r="B28" s="16" t="s">
        <v>137</v>
      </c>
      <c r="C28" s="7" t="s">
        <v>98</v>
      </c>
      <c r="D28" s="19" t="s">
        <v>138</v>
      </c>
      <c r="E28" s="21"/>
      <c r="F28" s="7" t="s">
        <v>127</v>
      </c>
      <c r="G28" s="19" t="s">
        <v>139</v>
      </c>
    </row>
    <row r="29" ht="21.75" customHeight="1" spans="1:7">
      <c r="A29" s="27" t="s">
        <v>140</v>
      </c>
      <c r="B29" s="27"/>
      <c r="C29" s="27"/>
      <c r="D29" s="27"/>
      <c r="E29" s="27"/>
      <c r="F29" s="27"/>
      <c r="G29" s="27"/>
    </row>
    <row r="30" ht="31.5" customHeight="1" spans="1:7">
      <c r="A30" s="19" t="s">
        <v>140</v>
      </c>
      <c r="B30" s="16" t="s">
        <v>141</v>
      </c>
      <c r="C30" s="7" t="s">
        <v>57</v>
      </c>
      <c r="D30" s="19" t="s">
        <v>142</v>
      </c>
      <c r="E30" s="21" t="s">
        <v>143</v>
      </c>
      <c r="F30" s="7" t="s">
        <v>66</v>
      </c>
      <c r="G30" s="19" t="s">
        <v>144</v>
      </c>
    </row>
    <row r="31" ht="25.5" customHeight="1" spans="1:7">
      <c r="A31" s="19" t="s">
        <v>140</v>
      </c>
      <c r="B31" s="16" t="s">
        <v>145</v>
      </c>
      <c r="C31" s="7" t="s">
        <v>57</v>
      </c>
      <c r="D31" s="19" t="s">
        <v>146</v>
      </c>
      <c r="E31" s="21" t="s">
        <v>147</v>
      </c>
      <c r="F31" s="7" t="s">
        <v>66</v>
      </c>
      <c r="G31" s="19"/>
    </row>
    <row r="32" ht="25.5" customHeight="1" spans="1:7">
      <c r="A32" s="19" t="s">
        <v>140</v>
      </c>
      <c r="B32" s="16" t="s">
        <v>148</v>
      </c>
      <c r="C32" s="7" t="s">
        <v>98</v>
      </c>
      <c r="D32" s="19" t="s">
        <v>149</v>
      </c>
      <c r="E32" s="21" t="s">
        <v>147</v>
      </c>
      <c r="F32" s="7" t="s">
        <v>150</v>
      </c>
      <c r="G32" s="19"/>
    </row>
    <row r="33" ht="25.5" customHeight="1" spans="1:7">
      <c r="A33" s="19" t="s">
        <v>140</v>
      </c>
      <c r="B33" s="16" t="s">
        <v>151</v>
      </c>
      <c r="C33" s="7" t="s">
        <v>98</v>
      </c>
      <c r="D33" s="19" t="s">
        <v>152</v>
      </c>
      <c r="E33" s="21"/>
      <c r="F33" s="7" t="s">
        <v>153</v>
      </c>
      <c r="G33" s="19"/>
    </row>
    <row r="34" ht="31.5" customHeight="1" spans="1:7">
      <c r="A34" s="19" t="s">
        <v>140</v>
      </c>
      <c r="B34" s="16" t="s">
        <v>154</v>
      </c>
      <c r="C34" s="7" t="s">
        <v>98</v>
      </c>
      <c r="D34" s="19" t="s">
        <v>155</v>
      </c>
      <c r="E34" s="21" t="s">
        <v>156</v>
      </c>
      <c r="F34" s="7" t="s">
        <v>157</v>
      </c>
      <c r="G34" s="19" t="s">
        <v>158</v>
      </c>
    </row>
    <row r="35" ht="25.5" customHeight="1" spans="1:7">
      <c r="A35" s="19" t="s">
        <v>140</v>
      </c>
      <c r="B35" s="16" t="s">
        <v>159</v>
      </c>
      <c r="C35" s="7" t="s">
        <v>57</v>
      </c>
      <c r="D35" s="19" t="s">
        <v>160</v>
      </c>
      <c r="E35" s="21"/>
      <c r="F35" s="7" t="s">
        <v>66</v>
      </c>
      <c r="G35" s="19" t="s">
        <v>161</v>
      </c>
    </row>
    <row r="36" ht="25.5" customHeight="1" spans="1:7">
      <c r="A36" s="19" t="s">
        <v>140</v>
      </c>
      <c r="B36" s="16" t="s">
        <v>162</v>
      </c>
      <c r="C36" s="7" t="s">
        <v>57</v>
      </c>
      <c r="D36" s="19" t="s">
        <v>163</v>
      </c>
      <c r="E36" s="21"/>
      <c r="F36" s="7" t="s">
        <v>66</v>
      </c>
      <c r="G36" s="19"/>
    </row>
    <row r="37" ht="21.75" customHeight="1" spans="1:7">
      <c r="A37" s="27" t="s">
        <v>164</v>
      </c>
      <c r="B37" s="27"/>
      <c r="C37" s="27"/>
      <c r="D37" s="27"/>
      <c r="E37" s="27"/>
      <c r="F37" s="27"/>
      <c r="G37" s="27"/>
    </row>
    <row r="38" ht="25.5" customHeight="1" spans="1:7">
      <c r="A38" s="19" t="s">
        <v>164</v>
      </c>
      <c r="B38" s="16" t="s">
        <v>165</v>
      </c>
      <c r="C38" s="7" t="s">
        <v>57</v>
      </c>
      <c r="D38" s="19" t="s">
        <v>166</v>
      </c>
      <c r="E38" s="21"/>
      <c r="F38" s="7" t="s">
        <v>66</v>
      </c>
      <c r="G38" s="19"/>
    </row>
    <row r="39" ht="25.5" customHeight="1" spans="1:7">
      <c r="A39" s="19" t="s">
        <v>164</v>
      </c>
      <c r="B39" s="16" t="s">
        <v>167</v>
      </c>
      <c r="C39" s="7" t="s">
        <v>57</v>
      </c>
      <c r="D39" s="19" t="s">
        <v>168</v>
      </c>
      <c r="E39" s="21"/>
      <c r="F39" s="7" t="s">
        <v>66</v>
      </c>
      <c r="G39" s="19" t="s">
        <v>169</v>
      </c>
    </row>
    <row r="40" ht="25.5" customHeight="1" spans="1:7">
      <c r="A40" s="19" t="s">
        <v>164</v>
      </c>
      <c r="B40" s="16" t="s">
        <v>170</v>
      </c>
      <c r="C40" s="7" t="s">
        <v>98</v>
      </c>
      <c r="D40" s="19" t="s">
        <v>171</v>
      </c>
      <c r="E40" s="21"/>
      <c r="F40" s="7" t="s">
        <v>172</v>
      </c>
      <c r="G40" s="19"/>
    </row>
    <row r="41" ht="21.75" customHeight="1" spans="1:7">
      <c r="A41" s="27" t="s">
        <v>173</v>
      </c>
      <c r="B41" s="27"/>
      <c r="C41" s="27"/>
      <c r="D41" s="27"/>
      <c r="E41" s="27"/>
      <c r="F41" s="27"/>
      <c r="G41" s="27"/>
    </row>
    <row r="42" ht="25.5" customHeight="1" spans="1:7">
      <c r="A42" s="19" t="s">
        <v>173</v>
      </c>
      <c r="B42" s="16" t="s">
        <v>174</v>
      </c>
      <c r="C42" s="7" t="s">
        <v>57</v>
      </c>
      <c r="D42" s="19" t="s">
        <v>175</v>
      </c>
      <c r="E42" s="21"/>
      <c r="F42" s="7" t="s">
        <v>66</v>
      </c>
      <c r="G42" s="19"/>
    </row>
    <row r="43" ht="31.5" customHeight="1" spans="1:7">
      <c r="A43" s="19" t="s">
        <v>173</v>
      </c>
      <c r="B43" s="16" t="s">
        <v>176</v>
      </c>
      <c r="C43" s="7" t="s">
        <v>57</v>
      </c>
      <c r="D43" s="19" t="s">
        <v>177</v>
      </c>
      <c r="E43" s="21"/>
      <c r="F43" s="7" t="s">
        <v>66</v>
      </c>
      <c r="G43" s="19" t="s">
        <v>178</v>
      </c>
    </row>
    <row r="44" ht="25.5" customHeight="1" spans="1:7">
      <c r="A44" s="19" t="s">
        <v>173</v>
      </c>
      <c r="B44" s="16" t="s">
        <v>179</v>
      </c>
      <c r="C44" s="7" t="s">
        <v>57</v>
      </c>
      <c r="D44" s="19" t="s">
        <v>180</v>
      </c>
      <c r="E44" s="21"/>
      <c r="F44" s="7" t="s">
        <v>66</v>
      </c>
      <c r="G44" s="19" t="s">
        <v>181</v>
      </c>
    </row>
    <row r="45" ht="25.5" customHeight="1" spans="1:7">
      <c r="A45" s="19" t="s">
        <v>173</v>
      </c>
      <c r="B45" s="16" t="s">
        <v>182</v>
      </c>
      <c r="C45" s="7" t="s">
        <v>57</v>
      </c>
      <c r="D45" s="19" t="s">
        <v>183</v>
      </c>
      <c r="E45" s="21"/>
      <c r="F45" s="7" t="s">
        <v>66</v>
      </c>
      <c r="G45" s="19"/>
    </row>
    <row r="46" ht="25.5" customHeight="1" spans="1:7">
      <c r="A46" s="19" t="s">
        <v>173</v>
      </c>
      <c r="B46" s="16" t="s">
        <v>184</v>
      </c>
      <c r="C46" s="7" t="s">
        <v>57</v>
      </c>
      <c r="D46" s="19" t="s">
        <v>185</v>
      </c>
      <c r="E46" s="21"/>
      <c r="F46" s="7" t="s">
        <v>66</v>
      </c>
      <c r="G46" s="19" t="s">
        <v>186</v>
      </c>
    </row>
    <row r="47" ht="25.5" customHeight="1" spans="1:7">
      <c r="A47" s="19" t="s">
        <v>173</v>
      </c>
      <c r="B47" s="16" t="s">
        <v>187</v>
      </c>
      <c r="C47" s="7" t="s">
        <v>57</v>
      </c>
      <c r="D47" s="19" t="s">
        <v>188</v>
      </c>
      <c r="E47" s="21"/>
      <c r="F47" s="7" t="s">
        <v>66</v>
      </c>
      <c r="G47" s="19"/>
    </row>
    <row r="48" ht="25.5" customHeight="1" spans="1:7">
      <c r="A48" s="19" t="s">
        <v>173</v>
      </c>
      <c r="B48" s="16" t="s">
        <v>189</v>
      </c>
      <c r="C48" s="7" t="s">
        <v>57</v>
      </c>
      <c r="D48" s="19" t="s">
        <v>190</v>
      </c>
      <c r="E48" s="21"/>
      <c r="F48" s="7" t="s">
        <v>66</v>
      </c>
      <c r="G48" s="19"/>
    </row>
    <row r="49" ht="25.5" customHeight="1" spans="1:7">
      <c r="A49" s="19" t="s">
        <v>173</v>
      </c>
      <c r="B49" s="16" t="s">
        <v>191</v>
      </c>
      <c r="C49" s="7" t="s">
        <v>57</v>
      </c>
      <c r="D49" s="19" t="s">
        <v>192</v>
      </c>
      <c r="E49" s="21"/>
      <c r="F49" s="7" t="s">
        <v>131</v>
      </c>
      <c r="G49" s="19"/>
    </row>
    <row r="50" ht="21.75" customHeight="1" spans="1:7">
      <c r="A50" s="27" t="s">
        <v>193</v>
      </c>
      <c r="B50" s="27"/>
      <c r="C50" s="27"/>
      <c r="D50" s="27"/>
      <c r="E50" s="27"/>
      <c r="F50" s="27"/>
      <c r="G50" s="27"/>
    </row>
    <row r="51" ht="25.5" customHeight="1" spans="1:7">
      <c r="A51" s="19" t="s">
        <v>193</v>
      </c>
      <c r="B51" s="16" t="s">
        <v>194</v>
      </c>
      <c r="C51" s="7" t="s">
        <v>98</v>
      </c>
      <c r="D51" s="19" t="s">
        <v>195</v>
      </c>
      <c r="E51"/>
      <c r="F51" s="7" t="s">
        <v>196</v>
      </c>
      <c r="G51" s="19"/>
    </row>
    <row r="52" ht="25.5" customHeight="1" spans="1:7">
      <c r="A52" s="19" t="s">
        <v>193</v>
      </c>
      <c r="B52" s="16" t="s">
        <v>197</v>
      </c>
      <c r="C52" s="7" t="s">
        <v>98</v>
      </c>
      <c r="D52" s="19" t="s">
        <v>198</v>
      </c>
      <c r="E52"/>
      <c r="F52" s="7" t="s">
        <v>199</v>
      </c>
      <c r="G52" s="19"/>
    </row>
    <row r="53" ht="25.5" customHeight="1" spans="1:7">
      <c r="A53" s="19" t="s">
        <v>193</v>
      </c>
      <c r="B53" s="16" t="s">
        <v>200</v>
      </c>
      <c r="C53" s="7" t="s">
        <v>98</v>
      </c>
      <c r="D53" s="19" t="s">
        <v>201</v>
      </c>
      <c r="E53"/>
      <c r="F53" s="7" t="s">
        <v>202</v>
      </c>
      <c r="G53" s="19"/>
    </row>
    <row r="54" ht="25.5" customHeight="1" spans="1:7">
      <c r="A54" s="19" t="s">
        <v>193</v>
      </c>
      <c r="B54" s="16" t="s">
        <v>203</v>
      </c>
      <c r="C54" s="7" t="s">
        <v>98</v>
      </c>
      <c r="D54" s="19" t="s">
        <v>204</v>
      </c>
      <c r="E54"/>
      <c r="F54" s="7" t="s">
        <v>205</v>
      </c>
      <c r="G54" s="19"/>
    </row>
    <row r="55" ht="25.5" customHeight="1" spans="1:7">
      <c r="A55" s="19" t="s">
        <v>193</v>
      </c>
      <c r="B55" s="16" t="s">
        <v>206</v>
      </c>
      <c r="C55" s="7" t="s">
        <v>98</v>
      </c>
      <c r="D55" s="19" t="s">
        <v>207</v>
      </c>
      <c r="E55"/>
      <c r="F55" s="7" t="s">
        <v>208</v>
      </c>
      <c r="G55" s="19"/>
    </row>
  </sheetData>
  <autoFilter xmlns:etc="http://www.wps.cn/officeDocument/2017/etCustomData" ref="A3:G55" etc:filterBottomFollowUsedRange="0">
    <extLst/>
  </autoFilter>
  <mergeCells count="9">
    <mergeCell ref="A1:G1"/>
    <mergeCell ref="A2:G2"/>
    <mergeCell ref="A4:G4"/>
    <mergeCell ref="A15:G15"/>
    <mergeCell ref="A19:G19"/>
    <mergeCell ref="A29:G29"/>
    <mergeCell ref="A37:G37"/>
    <mergeCell ref="A41:G41"/>
    <mergeCell ref="A50:G50"/>
  </mergeCell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K90"/>
  <sheetViews>
    <sheetView workbookViewId="0">
      <pane xSplit="4" ySplit="3" topLeftCell="E71" activePane="bottomRight" state="frozen"/>
      <selection/>
      <selection pane="topRight"/>
      <selection pane="bottomLeft"/>
      <selection pane="bottomRight" activeCell="C82" sqref="C82"/>
    </sheetView>
  </sheetViews>
  <sheetFormatPr defaultColWidth="7.8984375" defaultRowHeight="16"/>
  <cols>
    <col min="1" max="1" width="11.828125" customWidth="1"/>
    <col min="2" max="2" width="19.109375" customWidth="1"/>
    <col min="3" max="3" width="40.03125" customWidth="1"/>
    <col min="4" max="4" width="18.203125" customWidth="1"/>
    <col min="5" max="10" width="17.2890625" customWidth="1"/>
    <col min="11" max="11" width="20.0078125" customWidth="1"/>
  </cols>
  <sheetData>
    <row r="1" ht="33.75" customHeight="1" spans="1:11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 customHeight="1" spans="1:11">
      <c r="A2" s="13" t="s">
        <v>210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45" customHeight="1" spans="1:11">
      <c r="A3" s="5" t="s">
        <v>56</v>
      </c>
      <c r="B3" s="5" t="s">
        <v>39</v>
      </c>
      <c r="C3" s="5" t="s">
        <v>58</v>
      </c>
      <c r="D3" s="5" t="s">
        <v>60</v>
      </c>
      <c r="E3" s="5" t="s">
        <v>211</v>
      </c>
      <c r="F3" s="5" t="s">
        <v>212</v>
      </c>
      <c r="G3" s="5" t="s">
        <v>213</v>
      </c>
      <c r="H3" s="5" t="s">
        <v>214</v>
      </c>
      <c r="I3" s="5" t="s">
        <v>215</v>
      </c>
      <c r="J3" s="5" t="s">
        <v>216</v>
      </c>
      <c r="K3" s="5" t="s">
        <v>61</v>
      </c>
    </row>
    <row r="4" ht="21.75" customHeight="1" spans="1:11">
      <c r="A4" s="27" t="s">
        <v>217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ht="31.5" customHeight="1" spans="1:11">
      <c r="A5" s="30" t="s">
        <v>217</v>
      </c>
      <c r="B5" s="16" t="s">
        <v>218</v>
      </c>
      <c r="C5" s="29" t="s">
        <v>219</v>
      </c>
      <c r="D5" s="29" t="s">
        <v>131</v>
      </c>
      <c r="E5" s="31"/>
      <c r="F5" s="31"/>
      <c r="G5" s="31"/>
      <c r="H5" s="31"/>
      <c r="I5" s="31"/>
      <c r="J5" s="31"/>
      <c r="K5" s="12"/>
    </row>
    <row r="6" ht="31.5" customHeight="1" spans="1:11">
      <c r="A6" s="30" t="s">
        <v>217</v>
      </c>
      <c r="B6" s="16" t="s">
        <v>42</v>
      </c>
      <c r="C6" s="29" t="s">
        <v>220</v>
      </c>
      <c r="D6" s="29" t="s">
        <v>66</v>
      </c>
      <c r="E6" s="31"/>
      <c r="F6" s="31"/>
      <c r="G6" s="31"/>
      <c r="H6" s="31"/>
      <c r="I6" s="31"/>
      <c r="J6" s="31"/>
      <c r="K6" s="12"/>
    </row>
    <row r="7" ht="31.5" customHeight="1" spans="1:11">
      <c r="A7" s="30" t="s">
        <v>217</v>
      </c>
      <c r="B7" s="16" t="s">
        <v>221</v>
      </c>
      <c r="C7" s="29" t="s">
        <v>222</v>
      </c>
      <c r="D7" s="29" t="s">
        <v>196</v>
      </c>
      <c r="E7" s="31"/>
      <c r="F7" s="31"/>
      <c r="G7" s="31"/>
      <c r="H7" s="31"/>
      <c r="I7" s="31"/>
      <c r="J7" s="31"/>
      <c r="K7" s="12"/>
    </row>
    <row r="8" ht="31.5" customHeight="1" spans="1:11">
      <c r="A8" s="30" t="s">
        <v>217</v>
      </c>
      <c r="B8" s="16" t="s">
        <v>223</v>
      </c>
      <c r="C8" s="29" t="s">
        <v>224</v>
      </c>
      <c r="D8" s="29" t="s">
        <v>225</v>
      </c>
      <c r="E8" s="31"/>
      <c r="F8" s="31"/>
      <c r="G8" s="31"/>
      <c r="H8" s="31"/>
      <c r="I8" s="31"/>
      <c r="J8" s="31"/>
      <c r="K8" s="12"/>
    </row>
    <row r="9" ht="31.5" customHeight="1" spans="1:11">
      <c r="A9" s="30" t="s">
        <v>217</v>
      </c>
      <c r="B9" s="16" t="s">
        <v>226</v>
      </c>
      <c r="C9" s="29" t="s">
        <v>227</v>
      </c>
      <c r="D9" s="29" t="s">
        <v>205</v>
      </c>
      <c r="E9" s="31"/>
      <c r="F9" s="31"/>
      <c r="G9" s="31"/>
      <c r="H9" s="31"/>
      <c r="I9" s="31"/>
      <c r="J9" s="31"/>
      <c r="K9" s="12"/>
    </row>
    <row r="10" ht="31.5" customHeight="1" spans="1:11">
      <c r="A10" s="30" t="s">
        <v>217</v>
      </c>
      <c r="B10" s="16" t="s">
        <v>228</v>
      </c>
      <c r="C10" s="29" t="s">
        <v>229</v>
      </c>
      <c r="D10" s="29" t="s">
        <v>208</v>
      </c>
      <c r="E10" s="31"/>
      <c r="F10" s="31"/>
      <c r="G10" s="31"/>
      <c r="H10" s="31"/>
      <c r="I10" s="31"/>
      <c r="J10" s="31"/>
      <c r="K10" s="12"/>
    </row>
    <row r="11" ht="31.5" customHeight="1" spans="1:11">
      <c r="A11" s="30" t="s">
        <v>217</v>
      </c>
      <c r="B11" s="16" t="s">
        <v>230</v>
      </c>
      <c r="C11" s="29" t="s">
        <v>231</v>
      </c>
      <c r="D11" s="29" t="s">
        <v>232</v>
      </c>
      <c r="E11" s="31"/>
      <c r="F11" s="31"/>
      <c r="G11" s="31"/>
      <c r="H11" s="31"/>
      <c r="I11" s="31"/>
      <c r="J11" s="31"/>
      <c r="K11" s="12"/>
    </row>
    <row r="12" ht="31.5" customHeight="1" spans="1:11">
      <c r="A12" s="30" t="s">
        <v>217</v>
      </c>
      <c r="B12" s="16" t="s">
        <v>233</v>
      </c>
      <c r="C12" s="29" t="s">
        <v>234</v>
      </c>
      <c r="D12" s="29" t="s">
        <v>66</v>
      </c>
      <c r="E12" s="31"/>
      <c r="F12" s="31"/>
      <c r="G12" s="31"/>
      <c r="H12" s="31"/>
      <c r="I12" s="31"/>
      <c r="J12" s="31"/>
      <c r="K12" s="12"/>
    </row>
    <row r="13" ht="31.5" customHeight="1" spans="1:11">
      <c r="A13" s="30" t="s">
        <v>217</v>
      </c>
      <c r="B13" s="16" t="s">
        <v>235</v>
      </c>
      <c r="C13" s="29" t="s">
        <v>236</v>
      </c>
      <c r="D13" s="29" t="s">
        <v>66</v>
      </c>
      <c r="E13" s="31"/>
      <c r="F13" s="31"/>
      <c r="G13" s="31"/>
      <c r="H13" s="31"/>
      <c r="I13" s="31"/>
      <c r="J13" s="31"/>
      <c r="K13" s="12"/>
    </row>
    <row r="14" ht="31.5" customHeight="1" spans="1:11">
      <c r="A14" s="30" t="s">
        <v>217</v>
      </c>
      <c r="B14" s="16" t="s">
        <v>237</v>
      </c>
      <c r="C14" s="29" t="s">
        <v>238</v>
      </c>
      <c r="D14" s="29" t="s">
        <v>66</v>
      </c>
      <c r="E14" s="31"/>
      <c r="F14" s="31"/>
      <c r="G14" s="31"/>
      <c r="H14" s="31"/>
      <c r="I14" s="31"/>
      <c r="J14" s="31"/>
      <c r="K14" s="12"/>
    </row>
    <row r="15" ht="31.5" customHeight="1" spans="1:11">
      <c r="A15" s="30" t="s">
        <v>217</v>
      </c>
      <c r="B15" s="16" t="s">
        <v>239</v>
      </c>
      <c r="C15" s="29" t="s">
        <v>240</v>
      </c>
      <c r="D15" s="29" t="s">
        <v>241</v>
      </c>
      <c r="E15" s="31"/>
      <c r="F15" s="31"/>
      <c r="G15" s="31"/>
      <c r="H15" s="31"/>
      <c r="I15" s="31"/>
      <c r="J15" s="31"/>
      <c r="K15" s="12"/>
    </row>
    <row r="16" ht="31.5" customHeight="1" spans="1:11">
      <c r="A16" s="30" t="s">
        <v>217</v>
      </c>
      <c r="B16" s="16" t="s">
        <v>242</v>
      </c>
      <c r="C16" s="29" t="s">
        <v>243</v>
      </c>
      <c r="D16" s="29" t="s">
        <v>244</v>
      </c>
      <c r="E16" s="31"/>
      <c r="F16" s="31"/>
      <c r="G16" s="31"/>
      <c r="H16" s="31"/>
      <c r="I16" s="31"/>
      <c r="J16" s="31"/>
      <c r="K16" s="12"/>
    </row>
    <row r="17" ht="31.5" customHeight="1" spans="1:11">
      <c r="A17" s="30" t="s">
        <v>217</v>
      </c>
      <c r="B17" s="16" t="s">
        <v>245</v>
      </c>
      <c r="C17" s="29" t="s">
        <v>246</v>
      </c>
      <c r="D17" s="29" t="s">
        <v>66</v>
      </c>
      <c r="E17" s="31"/>
      <c r="F17" s="31"/>
      <c r="G17" s="31"/>
      <c r="H17" s="31"/>
      <c r="I17" s="31"/>
      <c r="J17" s="31"/>
      <c r="K17" s="12"/>
    </row>
    <row r="18" ht="31.5" customHeight="1" spans="1:11">
      <c r="A18" s="30" t="s">
        <v>217</v>
      </c>
      <c r="B18" s="16" t="s">
        <v>247</v>
      </c>
      <c r="C18" s="29" t="s">
        <v>248</v>
      </c>
      <c r="D18" s="29" t="s">
        <v>66</v>
      </c>
      <c r="E18" s="31"/>
      <c r="F18" s="31"/>
      <c r="G18" s="31"/>
      <c r="H18" s="31"/>
      <c r="I18" s="31"/>
      <c r="J18" s="31"/>
      <c r="K18" s="12"/>
    </row>
    <row r="19" ht="31.5" customHeight="1" spans="1:11">
      <c r="A19" s="30" t="s">
        <v>217</v>
      </c>
      <c r="B19" s="16" t="s">
        <v>249</v>
      </c>
      <c r="C19" s="29" t="s">
        <v>250</v>
      </c>
      <c r="D19" s="29" t="s">
        <v>66</v>
      </c>
      <c r="E19" s="31"/>
      <c r="F19" s="31"/>
      <c r="G19" s="31"/>
      <c r="H19" s="31"/>
      <c r="I19" s="31"/>
      <c r="J19" s="31"/>
      <c r="K19" s="12"/>
    </row>
    <row r="20" ht="21.75" customHeight="1" spans="1:11">
      <c r="A20" s="27" t="s">
        <v>251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ht="31.5" customHeight="1" spans="1:11">
      <c r="A21" s="30" t="s">
        <v>251</v>
      </c>
      <c r="B21" s="16" t="s">
        <v>252</v>
      </c>
      <c r="C21" s="29" t="s">
        <v>253</v>
      </c>
      <c r="D21" s="29" t="s">
        <v>66</v>
      </c>
      <c r="E21" s="31"/>
      <c r="F21" s="31"/>
      <c r="G21" s="31"/>
      <c r="H21" s="31"/>
      <c r="I21" s="31"/>
      <c r="J21" s="31"/>
      <c r="K21" s="12"/>
    </row>
    <row r="22" ht="31.5" customHeight="1" spans="1:11">
      <c r="A22" s="30" t="s">
        <v>251</v>
      </c>
      <c r="B22" s="16" t="s">
        <v>254</v>
      </c>
      <c r="C22" s="29" t="s">
        <v>255</v>
      </c>
      <c r="D22" s="29" t="s">
        <v>66</v>
      </c>
      <c r="E22" s="31"/>
      <c r="F22" s="31"/>
      <c r="G22" s="31"/>
      <c r="H22" s="31"/>
      <c r="I22" s="31"/>
      <c r="J22" s="31"/>
      <c r="K22" s="12"/>
    </row>
    <row r="23" ht="31.5" customHeight="1" spans="1:11">
      <c r="A23" s="30" t="s">
        <v>251</v>
      </c>
      <c r="B23" s="16" t="s">
        <v>256</v>
      </c>
      <c r="C23" s="29" t="s">
        <v>257</v>
      </c>
      <c r="D23" s="29" t="s">
        <v>153</v>
      </c>
      <c r="E23" s="31"/>
      <c r="F23" s="31"/>
      <c r="G23" s="31"/>
      <c r="H23" s="31"/>
      <c r="I23" s="31"/>
      <c r="J23" s="31"/>
      <c r="K23" s="12"/>
    </row>
    <row r="24" ht="31.5" customHeight="1" spans="1:11">
      <c r="A24" s="30" t="s">
        <v>251</v>
      </c>
      <c r="B24" s="16" t="s">
        <v>258</v>
      </c>
      <c r="C24" s="29" t="s">
        <v>259</v>
      </c>
      <c r="D24" s="29" t="s">
        <v>244</v>
      </c>
      <c r="E24" s="31"/>
      <c r="F24" s="31"/>
      <c r="G24" s="31"/>
      <c r="H24" s="31"/>
      <c r="I24" s="31"/>
      <c r="J24" s="31"/>
      <c r="K24" s="12"/>
    </row>
    <row r="25" ht="30" customHeight="1" spans="1:11">
      <c r="A25" s="30" t="s">
        <v>251</v>
      </c>
      <c r="B25" s="16" t="s">
        <v>260</v>
      </c>
      <c r="C25" s="29" t="s">
        <v>261</v>
      </c>
      <c r="D25" s="29" t="s">
        <v>262</v>
      </c>
      <c r="E25" s="31"/>
      <c r="F25" s="31"/>
      <c r="G25" s="31"/>
      <c r="H25" s="31"/>
      <c r="I25" s="31"/>
      <c r="J25" s="31"/>
      <c r="K25" s="12"/>
    </row>
    <row r="26" ht="31.5" customHeight="1" spans="1:11">
      <c r="A26" s="30" t="s">
        <v>251</v>
      </c>
      <c r="B26" s="16" t="s">
        <v>263</v>
      </c>
      <c r="C26" s="29" t="s">
        <v>264</v>
      </c>
      <c r="D26" s="29" t="s">
        <v>262</v>
      </c>
      <c r="E26" s="31"/>
      <c r="F26" s="31"/>
      <c r="G26" s="31"/>
      <c r="H26" s="31"/>
      <c r="I26" s="31"/>
      <c r="J26" s="31"/>
      <c r="K26" s="12"/>
    </row>
    <row r="27" ht="30" customHeight="1" spans="1:11">
      <c r="A27" s="30" t="s">
        <v>251</v>
      </c>
      <c r="B27" s="16" t="s">
        <v>265</v>
      </c>
      <c r="C27" s="29" t="s">
        <v>266</v>
      </c>
      <c r="D27" s="29" t="s">
        <v>262</v>
      </c>
      <c r="E27" s="31"/>
      <c r="F27" s="31"/>
      <c r="G27" s="31"/>
      <c r="H27" s="31"/>
      <c r="I27" s="31"/>
      <c r="J27" s="31"/>
      <c r="K27" s="12"/>
    </row>
    <row r="28" ht="30" customHeight="1" spans="1:11">
      <c r="A28" s="30" t="s">
        <v>251</v>
      </c>
      <c r="B28" s="16" t="s">
        <v>267</v>
      </c>
      <c r="C28" s="29" t="s">
        <v>268</v>
      </c>
      <c r="D28" s="29" t="s">
        <v>262</v>
      </c>
      <c r="E28" s="31"/>
      <c r="F28" s="31"/>
      <c r="G28" s="31"/>
      <c r="H28" s="31"/>
      <c r="I28" s="31"/>
      <c r="J28" s="31"/>
      <c r="K28" s="12"/>
    </row>
    <row r="29" ht="31.5" customHeight="1" spans="1:11">
      <c r="A29" s="30" t="s">
        <v>251</v>
      </c>
      <c r="B29" s="16" t="s">
        <v>269</v>
      </c>
      <c r="C29" s="29" t="s">
        <v>270</v>
      </c>
      <c r="D29" s="29" t="s">
        <v>271</v>
      </c>
      <c r="E29" s="31"/>
      <c r="F29" s="31"/>
      <c r="G29" s="31"/>
      <c r="H29" s="31"/>
      <c r="I29" s="31"/>
      <c r="J29" s="31"/>
      <c r="K29" s="12"/>
    </row>
    <row r="30" ht="30" customHeight="1" spans="1:11">
      <c r="A30" s="30" t="s">
        <v>251</v>
      </c>
      <c r="B30" s="16" t="s">
        <v>272</v>
      </c>
      <c r="C30" s="29" t="s">
        <v>273</v>
      </c>
      <c r="D30" s="29" t="s">
        <v>274</v>
      </c>
      <c r="E30" s="31"/>
      <c r="F30" s="31"/>
      <c r="G30" s="31"/>
      <c r="H30" s="31"/>
      <c r="I30" s="31"/>
      <c r="J30" s="31"/>
      <c r="K30" s="12"/>
    </row>
    <row r="31" ht="30" customHeight="1" spans="1:11">
      <c r="A31" s="30" t="s">
        <v>251</v>
      </c>
      <c r="B31" s="16" t="s">
        <v>275</v>
      </c>
      <c r="C31" s="29" t="s">
        <v>276</v>
      </c>
      <c r="D31" s="29" t="s">
        <v>277</v>
      </c>
      <c r="E31" s="32"/>
      <c r="F31" s="32"/>
      <c r="G31" s="32"/>
      <c r="H31" s="32"/>
      <c r="I31" s="32"/>
      <c r="J31" s="32"/>
      <c r="K31" s="33"/>
    </row>
    <row r="32" ht="30" customHeight="1" spans="1:11">
      <c r="A32" s="30" t="s">
        <v>251</v>
      </c>
      <c r="B32" s="16" t="s">
        <v>278</v>
      </c>
      <c r="C32" s="29" t="s">
        <v>279</v>
      </c>
      <c r="D32" s="29" t="s">
        <v>277</v>
      </c>
      <c r="E32" s="32"/>
      <c r="F32" s="32"/>
      <c r="G32" s="32"/>
      <c r="H32" s="32"/>
      <c r="I32" s="32"/>
      <c r="J32" s="32"/>
      <c r="K32" s="33"/>
    </row>
    <row r="33" ht="31.5" customHeight="1" spans="1:11">
      <c r="A33" s="30" t="s">
        <v>251</v>
      </c>
      <c r="B33" s="16" t="s">
        <v>280</v>
      </c>
      <c r="C33" s="29" t="s">
        <v>281</v>
      </c>
      <c r="D33" s="29" t="s">
        <v>277</v>
      </c>
      <c r="E33" s="32"/>
      <c r="F33" s="32"/>
      <c r="G33" s="32"/>
      <c r="H33" s="32"/>
      <c r="I33" s="32"/>
      <c r="J33" s="32"/>
      <c r="K33" s="33"/>
    </row>
    <row r="34" ht="30" customHeight="1" spans="1:11">
      <c r="A34" s="30" t="s">
        <v>251</v>
      </c>
      <c r="B34" s="16" t="s">
        <v>49</v>
      </c>
      <c r="C34" s="29" t="s">
        <v>282</v>
      </c>
      <c r="D34" s="29" t="s">
        <v>66</v>
      </c>
      <c r="E34" s="31"/>
      <c r="F34" s="31"/>
      <c r="G34" s="31"/>
      <c r="H34" s="31"/>
      <c r="I34" s="31"/>
      <c r="J34" s="31"/>
      <c r="K34" s="12"/>
    </row>
    <row r="35" ht="31.5" customHeight="1" spans="1:11">
      <c r="A35" s="30" t="s">
        <v>251</v>
      </c>
      <c r="B35" s="16" t="s">
        <v>184</v>
      </c>
      <c r="C35" s="29" t="s">
        <v>283</v>
      </c>
      <c r="D35" s="29" t="s">
        <v>66</v>
      </c>
      <c r="E35" s="31"/>
      <c r="F35" s="31"/>
      <c r="G35" s="31"/>
      <c r="H35" s="31"/>
      <c r="I35" s="31"/>
      <c r="J35" s="31"/>
      <c r="K35" s="12"/>
    </row>
    <row r="36" ht="30" customHeight="1" spans="1:11">
      <c r="A36" s="30" t="s">
        <v>251</v>
      </c>
      <c r="B36" s="16" t="s">
        <v>284</v>
      </c>
      <c r="C36" s="29" t="s">
        <v>285</v>
      </c>
      <c r="D36" s="29" t="s">
        <v>271</v>
      </c>
      <c r="E36" s="31"/>
      <c r="F36" s="31"/>
      <c r="G36" s="31"/>
      <c r="H36" s="31"/>
      <c r="I36" s="31"/>
      <c r="J36" s="31"/>
      <c r="K36" s="12"/>
    </row>
    <row r="37" ht="31.5" customHeight="1" spans="1:11">
      <c r="A37" s="30" t="s">
        <v>251</v>
      </c>
      <c r="B37" s="16" t="s">
        <v>286</v>
      </c>
      <c r="C37" s="29" t="s">
        <v>287</v>
      </c>
      <c r="D37" s="29" t="s">
        <v>288</v>
      </c>
      <c r="E37" s="31"/>
      <c r="F37" s="31"/>
      <c r="G37" s="31"/>
      <c r="H37" s="31"/>
      <c r="I37" s="31"/>
      <c r="J37" s="31"/>
      <c r="K37" s="12"/>
    </row>
    <row r="38" ht="31.5" customHeight="1" spans="1:11">
      <c r="A38" s="30" t="s">
        <v>251</v>
      </c>
      <c r="B38" s="16" t="s">
        <v>289</v>
      </c>
      <c r="C38" s="29" t="s">
        <v>290</v>
      </c>
      <c r="D38" s="29" t="s">
        <v>66</v>
      </c>
      <c r="E38" s="31"/>
      <c r="F38" s="31"/>
      <c r="G38" s="31"/>
      <c r="H38" s="31"/>
      <c r="I38" s="31"/>
      <c r="J38" s="31"/>
      <c r="K38" s="12"/>
    </row>
    <row r="39" ht="31.5" customHeight="1" spans="1:11">
      <c r="A39" s="30" t="s">
        <v>251</v>
      </c>
      <c r="B39" s="16" t="s">
        <v>291</v>
      </c>
      <c r="C39" s="29" t="s">
        <v>292</v>
      </c>
      <c r="D39" s="29" t="s">
        <v>196</v>
      </c>
      <c r="E39" s="32"/>
      <c r="F39" s="32"/>
      <c r="G39" s="32"/>
      <c r="H39" s="32"/>
      <c r="I39" s="32"/>
      <c r="J39" s="32"/>
      <c r="K39" s="33"/>
    </row>
    <row r="40" ht="21.75" customHeight="1" spans="1:11">
      <c r="A40" s="27" t="s">
        <v>293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31.5" customHeight="1" spans="1:11">
      <c r="A41" s="30" t="s">
        <v>293</v>
      </c>
      <c r="B41" s="16" t="s">
        <v>47</v>
      </c>
      <c r="C41" s="29" t="s">
        <v>294</v>
      </c>
      <c r="D41" s="29" t="s">
        <v>66</v>
      </c>
      <c r="E41" s="34"/>
      <c r="F41" s="34"/>
      <c r="G41" s="34"/>
      <c r="H41" s="34"/>
      <c r="I41" s="34"/>
      <c r="J41" s="34"/>
      <c r="K41" s="35"/>
    </row>
    <row r="42" ht="31.5" customHeight="1" spans="1:11">
      <c r="A42" s="30" t="s">
        <v>293</v>
      </c>
      <c r="B42" s="16" t="s">
        <v>295</v>
      </c>
      <c r="C42" s="29" t="s">
        <v>296</v>
      </c>
      <c r="D42" s="29" t="s">
        <v>66</v>
      </c>
      <c r="E42" s="34"/>
      <c r="F42" s="34"/>
      <c r="G42" s="34"/>
      <c r="H42" s="34"/>
      <c r="I42" s="34"/>
      <c r="J42" s="34"/>
      <c r="K42" s="35"/>
    </row>
    <row r="43" ht="31.5" customHeight="1" spans="1:11">
      <c r="A43" s="30" t="s">
        <v>293</v>
      </c>
      <c r="B43" s="16" t="s">
        <v>297</v>
      </c>
      <c r="C43" s="29" t="s">
        <v>298</v>
      </c>
      <c r="D43" s="29" t="s">
        <v>131</v>
      </c>
      <c r="E43" s="34"/>
      <c r="F43" s="34"/>
      <c r="G43" s="34"/>
      <c r="H43" s="34"/>
      <c r="I43" s="34"/>
      <c r="J43" s="34"/>
      <c r="K43" s="35"/>
    </row>
    <row r="44" ht="57.75" customHeight="1" spans="1:11">
      <c r="A44" s="30" t="s">
        <v>293</v>
      </c>
      <c r="B44" s="16" t="s">
        <v>299</v>
      </c>
      <c r="C44" s="29" t="s">
        <v>300</v>
      </c>
      <c r="D44" s="29" t="s">
        <v>301</v>
      </c>
      <c r="E44" s="36" t="str">
        <f t="shared" ref="E44:J44" si="0">IF(E42="","",ROUND(E42*0.94,2))</f>
        <v/>
      </c>
      <c r="F44" s="36" t="str">
        <f t="shared" si="0"/>
        <v/>
      </c>
      <c r="G44" s="36" t="str">
        <f t="shared" si="0"/>
        <v/>
      </c>
      <c r="H44" s="36" t="str">
        <f t="shared" si="0"/>
        <v/>
      </c>
      <c r="I44" s="36" t="str">
        <f t="shared" si="0"/>
        <v/>
      </c>
      <c r="J44" s="36" t="str">
        <f t="shared" si="0"/>
        <v/>
      </c>
      <c r="K44" s="36"/>
    </row>
    <row r="45" ht="70.5" customHeight="1" spans="1:11">
      <c r="A45" s="30" t="s">
        <v>293</v>
      </c>
      <c r="B45" s="16" t="s">
        <v>302</v>
      </c>
      <c r="C45" s="29" t="s">
        <v>303</v>
      </c>
      <c r="D45" s="29" t="s">
        <v>301</v>
      </c>
      <c r="E45" s="36" t="str">
        <f t="shared" ref="E45:J45" si="1">IF(OR(E44="",E43=""),"",ROUND(E44-E43,2))</f>
        <v/>
      </c>
      <c r="F45" s="36" t="str">
        <f t="shared" si="1"/>
        <v/>
      </c>
      <c r="G45" s="36" t="str">
        <f t="shared" si="1"/>
        <v/>
      </c>
      <c r="H45" s="36" t="str">
        <f t="shared" si="1"/>
        <v/>
      </c>
      <c r="I45" s="36" t="str">
        <f t="shared" si="1"/>
        <v/>
      </c>
      <c r="J45" s="36" t="str">
        <f t="shared" si="1"/>
        <v/>
      </c>
      <c r="K45" s="36"/>
    </row>
    <row r="46" ht="70.5" customHeight="1" spans="1:11">
      <c r="A46" s="30" t="s">
        <v>293</v>
      </c>
      <c r="B46" s="16" t="s">
        <v>304</v>
      </c>
      <c r="C46" s="29" t="s">
        <v>305</v>
      </c>
      <c r="D46" s="29" t="s">
        <v>301</v>
      </c>
      <c r="E46" s="37" t="str">
        <f t="shared" ref="E46:J46" si="2">IF(OR(E44="",E44=0,E45=""),"",E45/E44)</f>
        <v/>
      </c>
      <c r="F46" s="37" t="str">
        <f t="shared" si="2"/>
        <v/>
      </c>
      <c r="G46" s="37" t="str">
        <f t="shared" si="2"/>
        <v/>
      </c>
      <c r="H46" s="37" t="str">
        <f t="shared" si="2"/>
        <v/>
      </c>
      <c r="I46" s="37" t="str">
        <f t="shared" si="2"/>
        <v/>
      </c>
      <c r="J46" s="37" t="str">
        <f t="shared" si="2"/>
        <v/>
      </c>
      <c r="K46" s="37"/>
    </row>
    <row r="47" ht="31.5" customHeight="1" spans="1:11">
      <c r="A47" s="30" t="s">
        <v>293</v>
      </c>
      <c r="B47" s="16" t="s">
        <v>306</v>
      </c>
      <c r="C47" s="29" t="s">
        <v>307</v>
      </c>
      <c r="D47" s="29" t="s">
        <v>66</v>
      </c>
      <c r="E47" s="31"/>
      <c r="F47" s="31"/>
      <c r="G47" s="31"/>
      <c r="H47" s="31"/>
      <c r="I47" s="31"/>
      <c r="J47" s="31"/>
      <c r="K47" s="12"/>
    </row>
    <row r="48" ht="31.5" customHeight="1" spans="1:11">
      <c r="A48" s="30" t="s">
        <v>293</v>
      </c>
      <c r="B48" s="16" t="s">
        <v>308</v>
      </c>
      <c r="C48" s="29" t="s">
        <v>309</v>
      </c>
      <c r="D48" s="29" t="s">
        <v>310</v>
      </c>
      <c r="E48" s="32"/>
      <c r="F48" s="32"/>
      <c r="G48" s="32"/>
      <c r="H48" s="32"/>
      <c r="I48" s="32"/>
      <c r="J48" s="32"/>
      <c r="K48" s="33"/>
    </row>
    <row r="49" ht="31.5" customHeight="1" spans="1:11">
      <c r="A49" s="30" t="s">
        <v>293</v>
      </c>
      <c r="B49" s="16" t="s">
        <v>311</v>
      </c>
      <c r="C49" s="29" t="s">
        <v>312</v>
      </c>
      <c r="D49" s="29" t="s">
        <v>66</v>
      </c>
      <c r="E49" s="31"/>
      <c r="F49" s="31"/>
      <c r="G49" s="31"/>
      <c r="H49" s="31"/>
      <c r="I49" s="31"/>
      <c r="J49" s="31"/>
      <c r="K49" s="12"/>
    </row>
    <row r="50" ht="31.5" customHeight="1" spans="1:11">
      <c r="A50" s="30" t="s">
        <v>293</v>
      </c>
      <c r="B50" s="16" t="s">
        <v>313</v>
      </c>
      <c r="C50" s="29" t="s">
        <v>314</v>
      </c>
      <c r="D50" s="29" t="s">
        <v>66</v>
      </c>
      <c r="E50" s="31"/>
      <c r="F50" s="31"/>
      <c r="G50" s="31"/>
      <c r="H50" s="31"/>
      <c r="I50" s="31"/>
      <c r="J50" s="31"/>
      <c r="K50" s="12"/>
    </row>
    <row r="51" ht="31.5" customHeight="1" spans="1:11">
      <c r="A51" s="30" t="s">
        <v>293</v>
      </c>
      <c r="B51" s="16" t="s">
        <v>315</v>
      </c>
      <c r="C51" s="29" t="s">
        <v>316</v>
      </c>
      <c r="D51" s="29" t="s">
        <v>244</v>
      </c>
      <c r="E51" s="31"/>
      <c r="F51" s="31"/>
      <c r="G51" s="31"/>
      <c r="H51" s="31"/>
      <c r="I51" s="31"/>
      <c r="J51" s="31"/>
      <c r="K51" s="12"/>
    </row>
    <row r="52" ht="21.75" customHeight="1" spans="1:11">
      <c r="A52" s="27" t="s">
        <v>317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ht="31.5" customHeight="1" spans="1:11">
      <c r="A53" s="30" t="s">
        <v>317</v>
      </c>
      <c r="B53" s="16" t="s">
        <v>318</v>
      </c>
      <c r="C53" s="29" t="s">
        <v>319</v>
      </c>
      <c r="D53" s="29" t="s">
        <v>66</v>
      </c>
      <c r="E53" s="31"/>
      <c r="F53" s="31"/>
      <c r="G53" s="31"/>
      <c r="H53" s="31"/>
      <c r="I53" s="31"/>
      <c r="J53" s="31"/>
      <c r="K53" s="12"/>
    </row>
    <row r="54" ht="31.5" customHeight="1" spans="1:11">
      <c r="A54" s="30" t="s">
        <v>317</v>
      </c>
      <c r="B54" s="16" t="s">
        <v>320</v>
      </c>
      <c r="C54" s="29" t="s">
        <v>321</v>
      </c>
      <c r="D54" s="29" t="s">
        <v>66</v>
      </c>
      <c r="E54" s="31"/>
      <c r="F54" s="31"/>
      <c r="G54" s="31"/>
      <c r="H54" s="31"/>
      <c r="I54" s="31"/>
      <c r="J54" s="31"/>
      <c r="K54" s="12"/>
    </row>
    <row r="55" ht="30" customHeight="1" spans="1:11">
      <c r="A55" s="30" t="s">
        <v>317</v>
      </c>
      <c r="B55" s="16" t="s">
        <v>322</v>
      </c>
      <c r="C55" s="29" t="s">
        <v>323</v>
      </c>
      <c r="D55" s="29" t="s">
        <v>66</v>
      </c>
      <c r="E55" s="31"/>
      <c r="F55" s="31"/>
      <c r="G55" s="31"/>
      <c r="H55" s="31"/>
      <c r="I55" s="31"/>
      <c r="J55" s="31"/>
      <c r="K55" s="12"/>
    </row>
    <row r="56" ht="31.5" customHeight="1" spans="1:11">
      <c r="A56" s="30" t="s">
        <v>317</v>
      </c>
      <c r="B56" s="16" t="s">
        <v>324</v>
      </c>
      <c r="C56" s="29" t="s">
        <v>325</v>
      </c>
      <c r="D56" s="29" t="s">
        <v>66</v>
      </c>
      <c r="E56" s="31"/>
      <c r="F56" s="31"/>
      <c r="G56" s="31"/>
      <c r="H56" s="31"/>
      <c r="I56" s="31"/>
      <c r="J56" s="31"/>
      <c r="K56" s="12"/>
    </row>
    <row r="57" ht="30" customHeight="1" spans="1:11">
      <c r="A57" s="30" t="s">
        <v>317</v>
      </c>
      <c r="B57" s="16" t="s">
        <v>174</v>
      </c>
      <c r="C57" s="29" t="s">
        <v>326</v>
      </c>
      <c r="D57" s="29" t="s">
        <v>66</v>
      </c>
      <c r="E57" s="31"/>
      <c r="F57" s="31"/>
      <c r="G57" s="31"/>
      <c r="H57" s="31"/>
      <c r="I57" s="31"/>
      <c r="J57" s="31"/>
      <c r="K57" s="12"/>
    </row>
    <row r="58" ht="30" customHeight="1" spans="1:11">
      <c r="A58" s="30" t="s">
        <v>317</v>
      </c>
      <c r="B58" s="16" t="s">
        <v>327</v>
      </c>
      <c r="C58" s="29" t="s">
        <v>328</v>
      </c>
      <c r="D58" s="29" t="s">
        <v>288</v>
      </c>
      <c r="E58" s="31"/>
      <c r="F58" s="31"/>
      <c r="G58" s="31"/>
      <c r="H58" s="31"/>
      <c r="I58" s="31"/>
      <c r="J58" s="31"/>
      <c r="K58" s="12"/>
    </row>
    <row r="59" ht="31.5" customHeight="1" spans="1:11">
      <c r="A59" s="30" t="s">
        <v>317</v>
      </c>
      <c r="B59" s="16" t="s">
        <v>329</v>
      </c>
      <c r="C59" s="29" t="s">
        <v>330</v>
      </c>
      <c r="D59" s="29" t="s">
        <v>66</v>
      </c>
      <c r="E59" s="31"/>
      <c r="F59" s="31"/>
      <c r="G59" s="31"/>
      <c r="H59" s="31"/>
      <c r="I59" s="31"/>
      <c r="J59" s="31"/>
      <c r="K59" s="12"/>
    </row>
    <row r="60" ht="30" customHeight="1" spans="1:11">
      <c r="A60" s="30" t="s">
        <v>317</v>
      </c>
      <c r="B60" s="16" t="s">
        <v>331</v>
      </c>
      <c r="C60" s="29" t="s">
        <v>332</v>
      </c>
      <c r="D60" s="29" t="s">
        <v>288</v>
      </c>
      <c r="E60" s="31"/>
      <c r="F60" s="31"/>
      <c r="G60" s="31"/>
      <c r="H60" s="31"/>
      <c r="I60" s="31"/>
      <c r="J60" s="31"/>
      <c r="K60" s="12"/>
    </row>
    <row r="61" ht="30" customHeight="1" spans="1:11">
      <c r="A61" s="30" t="s">
        <v>317</v>
      </c>
      <c r="B61" s="16" t="s">
        <v>333</v>
      </c>
      <c r="C61" s="29" t="s">
        <v>334</v>
      </c>
      <c r="D61" s="29" t="s">
        <v>288</v>
      </c>
      <c r="E61" s="31"/>
      <c r="F61" s="31"/>
      <c r="G61" s="31"/>
      <c r="H61" s="31"/>
      <c r="I61" s="31"/>
      <c r="J61" s="31"/>
      <c r="K61" s="12"/>
    </row>
    <row r="62" ht="30" customHeight="1" spans="1:11">
      <c r="A62" s="30" t="s">
        <v>317</v>
      </c>
      <c r="B62" s="16" t="s">
        <v>335</v>
      </c>
      <c r="C62" s="29" t="s">
        <v>336</v>
      </c>
      <c r="D62" s="29" t="s">
        <v>196</v>
      </c>
      <c r="E62" s="31"/>
      <c r="F62" s="31"/>
      <c r="G62" s="31"/>
      <c r="H62" s="31"/>
      <c r="I62" s="31"/>
      <c r="J62" s="31"/>
      <c r="K62" s="12"/>
    </row>
    <row r="63" ht="30" customHeight="1" spans="1:11">
      <c r="A63" s="30" t="s">
        <v>317</v>
      </c>
      <c r="B63" s="16" t="s">
        <v>337</v>
      </c>
      <c r="C63" s="29" t="s">
        <v>338</v>
      </c>
      <c r="D63" s="29" t="s">
        <v>196</v>
      </c>
      <c r="E63" s="31"/>
      <c r="F63" s="31"/>
      <c r="G63" s="31"/>
      <c r="H63" s="31"/>
      <c r="I63" s="31"/>
      <c r="J63" s="31"/>
      <c r="K63" s="12"/>
    </row>
    <row r="64" ht="31.5" customHeight="1" spans="1:11">
      <c r="A64" s="30" t="s">
        <v>317</v>
      </c>
      <c r="B64" s="16" t="s">
        <v>339</v>
      </c>
      <c r="C64" s="29" t="s">
        <v>340</v>
      </c>
      <c r="D64" s="29" t="s">
        <v>66</v>
      </c>
      <c r="E64" s="31"/>
      <c r="F64" s="31"/>
      <c r="G64" s="31"/>
      <c r="H64" s="31"/>
      <c r="I64" s="31"/>
      <c r="J64" s="31"/>
      <c r="K64" s="12"/>
    </row>
    <row r="65" ht="21.75" customHeight="1" spans="1:11">
      <c r="A65" s="27" t="s">
        <v>341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ht="31.5" customHeight="1" spans="1:11">
      <c r="A66" s="30" t="s">
        <v>341</v>
      </c>
      <c r="B66" s="16" t="s">
        <v>52</v>
      </c>
      <c r="C66" s="29" t="s">
        <v>342</v>
      </c>
      <c r="D66" s="29" t="s">
        <v>66</v>
      </c>
      <c r="E66" s="38"/>
      <c r="F66" s="38"/>
      <c r="G66" s="38"/>
      <c r="H66" s="38"/>
      <c r="I66" s="38"/>
      <c r="J66" s="38"/>
      <c r="K66" s="39"/>
    </row>
    <row r="67" ht="31.5" customHeight="1" spans="1:11">
      <c r="A67" s="30" t="s">
        <v>341</v>
      </c>
      <c r="B67" s="16" t="s">
        <v>343</v>
      </c>
      <c r="C67" s="29" t="s">
        <v>344</v>
      </c>
      <c r="D67" s="29" t="s">
        <v>66</v>
      </c>
      <c r="E67" s="31"/>
      <c r="F67" s="31"/>
      <c r="G67" s="31"/>
      <c r="H67" s="31"/>
      <c r="I67" s="31"/>
      <c r="J67" s="31"/>
      <c r="K67" s="12"/>
    </row>
    <row r="68" ht="31.5" customHeight="1" spans="1:11">
      <c r="A68" s="30" t="s">
        <v>341</v>
      </c>
      <c r="B68" s="16" t="s">
        <v>345</v>
      </c>
      <c r="C68" s="29" t="s">
        <v>346</v>
      </c>
      <c r="D68" s="29" t="s">
        <v>66</v>
      </c>
      <c r="E68" s="31"/>
      <c r="F68" s="31"/>
      <c r="G68" s="31"/>
      <c r="H68" s="31"/>
      <c r="I68" s="31"/>
      <c r="J68" s="31"/>
      <c r="K68" s="12"/>
    </row>
    <row r="69" ht="31.5" customHeight="1" spans="1:11">
      <c r="A69" s="30" t="s">
        <v>341</v>
      </c>
      <c r="B69" s="16" t="s">
        <v>347</v>
      </c>
      <c r="C69" s="29" t="s">
        <v>190</v>
      </c>
      <c r="D69" s="29" t="s">
        <v>66</v>
      </c>
      <c r="E69" s="31"/>
      <c r="F69" s="31"/>
      <c r="G69" s="31"/>
      <c r="H69" s="31"/>
      <c r="I69" s="31"/>
      <c r="J69" s="31"/>
      <c r="K69" s="12"/>
    </row>
    <row r="70" ht="31.5" customHeight="1" spans="1:11">
      <c r="A70" s="30" t="s">
        <v>341</v>
      </c>
      <c r="B70" s="16" t="s">
        <v>348</v>
      </c>
      <c r="C70" s="29" t="s">
        <v>349</v>
      </c>
      <c r="D70" s="29" t="s">
        <v>66</v>
      </c>
      <c r="E70" s="31"/>
      <c r="F70" s="31"/>
      <c r="G70" s="31"/>
      <c r="H70" s="31"/>
      <c r="I70" s="31"/>
      <c r="J70" s="31"/>
      <c r="K70" s="12"/>
    </row>
    <row r="71" ht="31.5" customHeight="1" spans="1:11">
      <c r="A71" s="30" t="s">
        <v>341</v>
      </c>
      <c r="B71" s="16" t="s">
        <v>350</v>
      </c>
      <c r="C71" s="29" t="s">
        <v>351</v>
      </c>
      <c r="D71" s="29" t="s">
        <v>131</v>
      </c>
      <c r="E71" s="31"/>
      <c r="F71" s="31"/>
      <c r="G71" s="31"/>
      <c r="H71" s="31"/>
      <c r="I71" s="31"/>
      <c r="J71" s="31"/>
      <c r="K71" s="12"/>
    </row>
    <row r="72" ht="31.5" customHeight="1" spans="1:11">
      <c r="A72" s="30" t="s">
        <v>341</v>
      </c>
      <c r="B72" s="16" t="s">
        <v>352</v>
      </c>
      <c r="C72" s="29" t="s">
        <v>353</v>
      </c>
      <c r="D72" s="29" t="s">
        <v>131</v>
      </c>
      <c r="E72" s="31"/>
      <c r="F72" s="31"/>
      <c r="G72" s="31"/>
      <c r="H72" s="31"/>
      <c r="I72" s="31"/>
      <c r="J72" s="31"/>
      <c r="K72" s="12"/>
    </row>
    <row r="73" ht="21.75" customHeight="1" spans="1:11">
      <c r="A73" s="27" t="s">
        <v>354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ht="31.5" customHeight="1" spans="1:11">
      <c r="A74" s="30" t="s">
        <v>354</v>
      </c>
      <c r="B74" s="16" t="s">
        <v>355</v>
      </c>
      <c r="C74" s="29" t="s">
        <v>356</v>
      </c>
      <c r="D74" s="29" t="s">
        <v>66</v>
      </c>
      <c r="E74" s="31"/>
      <c r="F74" s="31"/>
      <c r="G74" s="31"/>
      <c r="H74" s="31"/>
      <c r="I74" s="31"/>
      <c r="J74" s="31"/>
      <c r="K74" s="12"/>
    </row>
    <row r="75" ht="31.5" customHeight="1" spans="1:11">
      <c r="A75" s="30" t="s">
        <v>354</v>
      </c>
      <c r="B75" s="16" t="s">
        <v>357</v>
      </c>
      <c r="C75" s="29" t="s">
        <v>358</v>
      </c>
      <c r="D75" s="29" t="s">
        <v>66</v>
      </c>
      <c r="E75" s="31"/>
      <c r="F75" s="31"/>
      <c r="G75" s="31"/>
      <c r="H75" s="31"/>
      <c r="I75" s="31"/>
      <c r="J75" s="31"/>
      <c r="K75" s="12"/>
    </row>
    <row r="76" ht="31.5" customHeight="1" spans="1:11">
      <c r="A76" s="30" t="s">
        <v>354</v>
      </c>
      <c r="B76" s="16" t="s">
        <v>359</v>
      </c>
      <c r="C76" s="29" t="s">
        <v>360</v>
      </c>
      <c r="D76" s="29" t="s">
        <v>66</v>
      </c>
      <c r="E76" s="31"/>
      <c r="F76" s="31"/>
      <c r="G76" s="31"/>
      <c r="H76" s="31"/>
      <c r="I76" s="31"/>
      <c r="J76" s="31"/>
      <c r="K76" s="12"/>
    </row>
    <row r="77" ht="31.5" customHeight="1" spans="1:11">
      <c r="A77" s="30" t="s">
        <v>354</v>
      </c>
      <c r="B77" s="16" t="s">
        <v>361</v>
      </c>
      <c r="C77" s="29" t="s">
        <v>362</v>
      </c>
      <c r="D77" s="29" t="s">
        <v>66</v>
      </c>
      <c r="E77" s="31"/>
      <c r="F77" s="31"/>
      <c r="G77" s="31"/>
      <c r="H77" s="31"/>
      <c r="I77" s="31"/>
      <c r="J77" s="31"/>
      <c r="K77" s="12"/>
    </row>
    <row r="78" ht="31.5" customHeight="1" spans="1:11">
      <c r="A78" s="30" t="s">
        <v>354</v>
      </c>
      <c r="B78" s="16" t="s">
        <v>363</v>
      </c>
      <c r="C78" s="29" t="s">
        <v>364</v>
      </c>
      <c r="D78" s="29" t="s">
        <v>271</v>
      </c>
      <c r="E78" s="31"/>
      <c r="F78" s="31"/>
      <c r="G78" s="31"/>
      <c r="H78" s="31"/>
      <c r="I78" s="31"/>
      <c r="J78" s="31"/>
      <c r="K78" s="12"/>
    </row>
    <row r="79" ht="31.5" customHeight="1" spans="1:11">
      <c r="A79" s="30" t="s">
        <v>354</v>
      </c>
      <c r="B79" s="16" t="s">
        <v>365</v>
      </c>
      <c r="C79" s="29" t="s">
        <v>366</v>
      </c>
      <c r="D79" s="29" t="s">
        <v>367</v>
      </c>
      <c r="E79" s="31"/>
      <c r="F79" s="31"/>
      <c r="G79" s="31"/>
      <c r="H79" s="31"/>
      <c r="I79" s="31"/>
      <c r="J79" s="31"/>
      <c r="K79" s="12"/>
    </row>
    <row r="80" ht="31.5" customHeight="1" spans="1:11">
      <c r="A80" s="30" t="s">
        <v>354</v>
      </c>
      <c r="B80" s="16" t="s">
        <v>368</v>
      </c>
      <c r="C80" s="29" t="s">
        <v>369</v>
      </c>
      <c r="D80" s="29" t="s">
        <v>370</v>
      </c>
      <c r="E80" s="31"/>
      <c r="F80" s="31"/>
      <c r="G80" s="31"/>
      <c r="H80" s="31"/>
      <c r="I80" s="31"/>
      <c r="J80" s="31"/>
      <c r="K80" s="12"/>
    </row>
    <row r="81" ht="31.5" customHeight="1" spans="1:11">
      <c r="A81" s="30" t="s">
        <v>354</v>
      </c>
      <c r="B81" s="16" t="s">
        <v>371</v>
      </c>
      <c r="C81" s="29" t="s">
        <v>372</v>
      </c>
      <c r="D81" s="29" t="s">
        <v>199</v>
      </c>
      <c r="E81" s="31"/>
      <c r="F81" s="31"/>
      <c r="G81" s="31"/>
      <c r="H81" s="31"/>
      <c r="I81" s="31"/>
      <c r="J81" s="31"/>
      <c r="K81" s="12"/>
    </row>
    <row r="82" ht="31.5" customHeight="1" spans="1:11">
      <c r="A82" s="30" t="s">
        <v>354</v>
      </c>
      <c r="B82" s="16" t="s">
        <v>373</v>
      </c>
      <c r="C82" s="29" t="s">
        <v>374</v>
      </c>
      <c r="D82" s="29" t="s">
        <v>199</v>
      </c>
      <c r="E82" s="31"/>
      <c r="F82" s="31"/>
      <c r="G82" s="31"/>
      <c r="H82" s="31"/>
      <c r="I82" s="31"/>
      <c r="J82" s="31"/>
      <c r="K82" s="12"/>
    </row>
    <row r="83" ht="31.5" customHeight="1" spans="1:11">
      <c r="A83" s="30" t="s">
        <v>354</v>
      </c>
      <c r="B83" s="16" t="s">
        <v>375</v>
      </c>
      <c r="C83" s="29" t="s">
        <v>376</v>
      </c>
      <c r="D83" s="29" t="s">
        <v>377</v>
      </c>
      <c r="E83" s="31"/>
      <c r="F83" s="31"/>
      <c r="G83" s="31"/>
      <c r="H83" s="31"/>
      <c r="I83" s="31"/>
      <c r="J83" s="31"/>
      <c r="K83" s="12"/>
    </row>
    <row r="84" ht="31.5" customHeight="1" spans="1:11">
      <c r="A84" s="30" t="s">
        <v>354</v>
      </c>
      <c r="B84" s="16" t="s">
        <v>378</v>
      </c>
      <c r="C84" s="29" t="s">
        <v>379</v>
      </c>
      <c r="D84" s="29" t="s">
        <v>377</v>
      </c>
      <c r="E84" s="31"/>
      <c r="F84" s="31"/>
      <c r="G84" s="31"/>
      <c r="H84" s="31"/>
      <c r="I84" s="31"/>
      <c r="J84" s="31"/>
      <c r="K84" s="12"/>
    </row>
    <row r="85" ht="21.75" customHeight="1" spans="1:11">
      <c r="A85" s="27" t="s">
        <v>380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ht="31.5" customHeight="1" spans="1:11">
      <c r="A86" s="30" t="s">
        <v>380</v>
      </c>
      <c r="B86" s="16" t="s">
        <v>381</v>
      </c>
      <c r="C86" s="29" t="s">
        <v>382</v>
      </c>
      <c r="D86" s="29" t="s">
        <v>66</v>
      </c>
      <c r="E86" s="31"/>
      <c r="F86" s="31"/>
      <c r="G86" s="31"/>
      <c r="H86" s="31"/>
      <c r="I86" s="31"/>
      <c r="J86" s="31"/>
      <c r="K86" s="12"/>
    </row>
    <row r="87" ht="31.5" customHeight="1" spans="1:11">
      <c r="A87" s="30" t="s">
        <v>380</v>
      </c>
      <c r="B87" s="16" t="s">
        <v>383</v>
      </c>
      <c r="C87" s="29" t="s">
        <v>384</v>
      </c>
      <c r="D87" s="29" t="s">
        <v>66</v>
      </c>
      <c r="E87" s="31"/>
      <c r="F87" s="31"/>
      <c r="G87" s="31"/>
      <c r="H87" s="31"/>
      <c r="I87" s="31"/>
      <c r="J87" s="31"/>
      <c r="K87" s="12"/>
    </row>
    <row r="88" ht="31.5" customHeight="1" spans="1:11">
      <c r="A88" s="30" t="s">
        <v>380</v>
      </c>
      <c r="B88" s="16" t="s">
        <v>385</v>
      </c>
      <c r="C88" s="29" t="s">
        <v>386</v>
      </c>
      <c r="D88" s="29" t="s">
        <v>66</v>
      </c>
      <c r="E88" s="31"/>
      <c r="F88" s="31"/>
      <c r="G88" s="31"/>
      <c r="H88" s="31"/>
      <c r="I88" s="31"/>
      <c r="J88" s="31"/>
      <c r="K88" s="12"/>
    </row>
    <row r="89" ht="31.5" customHeight="1" spans="1:11">
      <c r="A89" s="30" t="s">
        <v>380</v>
      </c>
      <c r="B89" s="16" t="s">
        <v>387</v>
      </c>
      <c r="C89" s="29" t="s">
        <v>388</v>
      </c>
      <c r="D89" s="29" t="s">
        <v>66</v>
      </c>
      <c r="E89" s="31"/>
      <c r="F89" s="31"/>
      <c r="G89" s="31"/>
      <c r="H89" s="31"/>
      <c r="I89" s="31"/>
      <c r="J89" s="31"/>
      <c r="K89" s="12"/>
    </row>
    <row r="90" ht="30" customHeight="1" spans="1:11">
      <c r="A90" s="30" t="s">
        <v>380</v>
      </c>
      <c r="B90" s="16" t="s">
        <v>389</v>
      </c>
      <c r="C90" s="29" t="s">
        <v>390</v>
      </c>
      <c r="D90" s="29" t="s">
        <v>66</v>
      </c>
      <c r="E90" s="31"/>
      <c r="F90" s="31"/>
      <c r="G90" s="31"/>
      <c r="H90" s="31"/>
      <c r="I90" s="31"/>
      <c r="J90" s="31"/>
      <c r="K90" s="12"/>
    </row>
  </sheetData>
  <autoFilter xmlns:etc="http://www.wps.cn/officeDocument/2017/etCustomData" ref="A3:K90" etc:filterBottomFollowUsedRange="0">
    <extLst/>
  </autoFilter>
  <mergeCells count="9">
    <mergeCell ref="A1:K1"/>
    <mergeCell ref="A2:K2"/>
    <mergeCell ref="A4:K4"/>
    <mergeCell ref="A20:K20"/>
    <mergeCell ref="A40:K40"/>
    <mergeCell ref="A52:K52"/>
    <mergeCell ref="A65:K65"/>
    <mergeCell ref="A73:K73"/>
    <mergeCell ref="A85:K85"/>
  </mergeCell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I72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F11" sqref="F11"/>
    </sheetView>
  </sheetViews>
  <sheetFormatPr defaultColWidth="7.8984375" defaultRowHeight="16"/>
  <cols>
    <col min="1" max="1" width="20.0078125" customWidth="1"/>
    <col min="2" max="2" width="12.7421875" customWidth="1"/>
    <col min="3" max="8" width="10.0078125" customWidth="1"/>
    <col min="9" max="9" width="47.3125" customWidth="1"/>
  </cols>
  <sheetData>
    <row r="1" ht="33.75" customHeight="1" spans="1:9">
      <c r="A1" s="1" t="s">
        <v>391</v>
      </c>
      <c r="B1" s="1"/>
      <c r="C1" s="1"/>
      <c r="D1" s="1"/>
      <c r="E1" s="1"/>
      <c r="F1" s="1"/>
      <c r="G1" s="1"/>
      <c r="H1" s="1"/>
      <c r="I1" s="1"/>
    </row>
    <row r="2" ht="25.5" customHeight="1" spans="1:9">
      <c r="A2" s="13" t="s">
        <v>392</v>
      </c>
      <c r="B2" s="13"/>
      <c r="C2" s="13"/>
      <c r="D2" s="13"/>
      <c r="E2" s="13"/>
      <c r="F2" s="13"/>
      <c r="G2" s="13"/>
      <c r="H2" s="13"/>
      <c r="I2" s="13"/>
    </row>
    <row r="3" ht="30" customHeight="1" spans="1:9">
      <c r="A3" s="5" t="s">
        <v>39</v>
      </c>
      <c r="B3" s="5" t="s">
        <v>56</v>
      </c>
      <c r="C3" s="5" t="s">
        <v>393</v>
      </c>
      <c r="D3" s="5" t="s">
        <v>394</v>
      </c>
      <c r="E3" s="5" t="s">
        <v>225</v>
      </c>
      <c r="F3" s="5" t="s">
        <v>199</v>
      </c>
      <c r="G3" s="5" t="s">
        <v>205</v>
      </c>
      <c r="H3" s="5" t="s">
        <v>208</v>
      </c>
      <c r="I3" s="5" t="s">
        <v>395</v>
      </c>
    </row>
    <row r="4" ht="21.75" customHeight="1" spans="1:9">
      <c r="A4" s="27" t="s">
        <v>396</v>
      </c>
      <c r="B4" s="27"/>
      <c r="C4" s="27"/>
      <c r="D4" s="27"/>
      <c r="E4" s="27"/>
      <c r="F4" s="27"/>
      <c r="G4" s="27"/>
      <c r="H4" s="27"/>
      <c r="I4" s="27"/>
    </row>
    <row r="5" ht="45" customHeight="1" spans="1:9">
      <c r="A5" s="16" t="s">
        <v>397</v>
      </c>
      <c r="B5" s="23" t="s">
        <v>396</v>
      </c>
      <c r="C5" s="28" t="s">
        <v>57</v>
      </c>
      <c r="D5" s="28" t="s">
        <v>57</v>
      </c>
      <c r="E5" s="28" t="s">
        <v>57</v>
      </c>
      <c r="F5" s="28" t="s">
        <v>57</v>
      </c>
      <c r="G5" s="28" t="s">
        <v>57</v>
      </c>
      <c r="H5" s="28" t="s">
        <v>57</v>
      </c>
      <c r="I5" s="29" t="s">
        <v>398</v>
      </c>
    </row>
    <row r="6" ht="45" customHeight="1" spans="1:9">
      <c r="A6" s="16" t="s">
        <v>399</v>
      </c>
      <c r="B6" s="23" t="s">
        <v>396</v>
      </c>
      <c r="C6" s="28" t="s">
        <v>400</v>
      </c>
      <c r="D6" s="28" t="s">
        <v>57</v>
      </c>
      <c r="E6" s="28" t="s">
        <v>57</v>
      </c>
      <c r="F6" s="28" t="s">
        <v>400</v>
      </c>
      <c r="G6" s="28" t="s">
        <v>57</v>
      </c>
      <c r="H6" s="28" t="s">
        <v>57</v>
      </c>
      <c r="I6" s="29" t="s">
        <v>401</v>
      </c>
    </row>
    <row r="7" ht="31.5" customHeight="1" spans="1:9">
      <c r="A7" s="16" t="s">
        <v>230</v>
      </c>
      <c r="B7" s="23" t="s">
        <v>396</v>
      </c>
      <c r="C7" s="28" t="s">
        <v>57</v>
      </c>
      <c r="D7" s="28" t="s">
        <v>57</v>
      </c>
      <c r="E7" s="28" t="s">
        <v>57</v>
      </c>
      <c r="F7" s="28" t="s">
        <v>98</v>
      </c>
      <c r="G7" s="28" t="s">
        <v>98</v>
      </c>
      <c r="H7" s="28" t="s">
        <v>400</v>
      </c>
      <c r="I7" s="29" t="s">
        <v>402</v>
      </c>
    </row>
    <row r="8" ht="30" customHeight="1" spans="1:9">
      <c r="A8" s="16" t="s">
        <v>403</v>
      </c>
      <c r="B8" s="23" t="s">
        <v>396</v>
      </c>
      <c r="C8" s="28" t="s">
        <v>57</v>
      </c>
      <c r="D8" s="28" t="s">
        <v>57</v>
      </c>
      <c r="E8" s="28" t="s">
        <v>57</v>
      </c>
      <c r="F8" s="28" t="s">
        <v>57</v>
      </c>
      <c r="G8" s="28" t="s">
        <v>57</v>
      </c>
      <c r="H8" s="28" t="s">
        <v>57</v>
      </c>
      <c r="I8" s="29" t="s">
        <v>404</v>
      </c>
    </row>
    <row r="9" ht="21.75" customHeight="1" spans="1:9">
      <c r="A9" s="27" t="s">
        <v>405</v>
      </c>
      <c r="B9" s="27"/>
      <c r="C9" s="27"/>
      <c r="D9" s="27"/>
      <c r="E9" s="27"/>
      <c r="F9" s="27"/>
      <c r="G9" s="27"/>
      <c r="H9" s="27"/>
      <c r="I9" s="27"/>
    </row>
    <row r="10" ht="45" customHeight="1" spans="1:9">
      <c r="A10" s="16" t="s">
        <v>355</v>
      </c>
      <c r="B10" s="23" t="s">
        <v>405</v>
      </c>
      <c r="C10" s="28" t="s">
        <v>57</v>
      </c>
      <c r="D10" s="28" t="s">
        <v>57</v>
      </c>
      <c r="E10" s="28" t="s">
        <v>57</v>
      </c>
      <c r="F10" s="28" t="s">
        <v>57</v>
      </c>
      <c r="G10" s="28" t="s">
        <v>57</v>
      </c>
      <c r="H10" s="28" t="s">
        <v>57</v>
      </c>
      <c r="I10" s="29" t="s">
        <v>406</v>
      </c>
    </row>
    <row r="11" ht="30" customHeight="1" spans="1:9">
      <c r="A11" s="16" t="s">
        <v>407</v>
      </c>
      <c r="B11" s="23" t="s">
        <v>405</v>
      </c>
      <c r="C11" s="28" t="s">
        <v>98</v>
      </c>
      <c r="D11" s="28" t="s">
        <v>98</v>
      </c>
      <c r="E11" s="28" t="s">
        <v>98</v>
      </c>
      <c r="F11" s="28" t="s">
        <v>98</v>
      </c>
      <c r="G11" s="28" t="s">
        <v>98</v>
      </c>
      <c r="H11" s="28" t="s">
        <v>98</v>
      </c>
      <c r="I11" s="29" t="s">
        <v>408</v>
      </c>
    </row>
    <row r="12" ht="31.5" customHeight="1" spans="1:9">
      <c r="A12" s="16" t="s">
        <v>409</v>
      </c>
      <c r="B12" s="23" t="s">
        <v>405</v>
      </c>
      <c r="C12" s="28" t="s">
        <v>57</v>
      </c>
      <c r="D12" s="28" t="s">
        <v>98</v>
      </c>
      <c r="E12" s="28" t="s">
        <v>57</v>
      </c>
      <c r="F12" s="28" t="s">
        <v>98</v>
      </c>
      <c r="G12" s="28" t="s">
        <v>57</v>
      </c>
      <c r="H12" s="28" t="s">
        <v>57</v>
      </c>
      <c r="I12" s="29" t="s">
        <v>410</v>
      </c>
    </row>
    <row r="13" ht="21.75" customHeight="1" spans="1:9">
      <c r="A13" s="27" t="s">
        <v>411</v>
      </c>
      <c r="B13" s="27"/>
      <c r="C13" s="27"/>
      <c r="D13" s="27"/>
      <c r="E13" s="27"/>
      <c r="F13" s="27"/>
      <c r="G13" s="27"/>
      <c r="H13" s="27"/>
      <c r="I13" s="27"/>
    </row>
    <row r="14" ht="30" customHeight="1" spans="1:9">
      <c r="A14" s="16" t="s">
        <v>412</v>
      </c>
      <c r="B14" s="23" t="s">
        <v>411</v>
      </c>
      <c r="C14" s="28" t="s">
        <v>57</v>
      </c>
      <c r="D14" s="28" t="s">
        <v>57</v>
      </c>
      <c r="E14" s="28" t="s">
        <v>57</v>
      </c>
      <c r="F14" s="28" t="s">
        <v>57</v>
      </c>
      <c r="G14" s="28" t="s">
        <v>98</v>
      </c>
      <c r="H14" s="28" t="s">
        <v>57</v>
      </c>
      <c r="I14" s="29" t="s">
        <v>413</v>
      </c>
    </row>
    <row r="15" ht="30" customHeight="1" spans="1:9">
      <c r="A15" s="16" t="s">
        <v>414</v>
      </c>
      <c r="B15" s="23" t="s">
        <v>411</v>
      </c>
      <c r="C15" s="28" t="s">
        <v>57</v>
      </c>
      <c r="D15" s="28" t="s">
        <v>57</v>
      </c>
      <c r="E15" s="28" t="s">
        <v>57</v>
      </c>
      <c r="F15" s="28" t="s">
        <v>57</v>
      </c>
      <c r="G15" s="28" t="s">
        <v>57</v>
      </c>
      <c r="H15" s="28" t="s">
        <v>57</v>
      </c>
      <c r="I15" s="29" t="s">
        <v>415</v>
      </c>
    </row>
    <row r="16" ht="30" customHeight="1" spans="1:9">
      <c r="A16" s="16" t="s">
        <v>416</v>
      </c>
      <c r="B16" s="23" t="s">
        <v>411</v>
      </c>
      <c r="C16" s="28" t="s">
        <v>98</v>
      </c>
      <c r="D16" s="28" t="s">
        <v>98</v>
      </c>
      <c r="E16" s="28" t="s">
        <v>98</v>
      </c>
      <c r="F16" s="28" t="s">
        <v>98</v>
      </c>
      <c r="G16" s="28" t="s">
        <v>57</v>
      </c>
      <c r="H16" s="28" t="s">
        <v>57</v>
      </c>
      <c r="I16" s="29" t="s">
        <v>417</v>
      </c>
    </row>
    <row r="17" ht="31.5" customHeight="1" spans="1:9">
      <c r="A17" s="16" t="s">
        <v>418</v>
      </c>
      <c r="B17" s="23" t="s">
        <v>411</v>
      </c>
      <c r="C17" s="28" t="s">
        <v>400</v>
      </c>
      <c r="D17" s="28" t="s">
        <v>57</v>
      </c>
      <c r="E17" s="28" t="s">
        <v>57</v>
      </c>
      <c r="F17" s="28" t="s">
        <v>400</v>
      </c>
      <c r="G17" s="28" t="s">
        <v>400</v>
      </c>
      <c r="H17" s="28" t="s">
        <v>400</v>
      </c>
      <c r="I17" s="29" t="s">
        <v>419</v>
      </c>
    </row>
    <row r="18" ht="21.75" customHeight="1" spans="1:9">
      <c r="A18" s="27" t="s">
        <v>420</v>
      </c>
      <c r="B18" s="27"/>
      <c r="C18" s="27"/>
      <c r="D18" s="27"/>
      <c r="E18" s="27"/>
      <c r="F18" s="27"/>
      <c r="G18" s="27"/>
      <c r="H18" s="27"/>
      <c r="I18" s="27"/>
    </row>
    <row r="19" ht="31.5" customHeight="1" spans="1:9">
      <c r="A19" s="16" t="s">
        <v>421</v>
      </c>
      <c r="B19" s="23" t="s">
        <v>420</v>
      </c>
      <c r="C19" s="28" t="s">
        <v>57</v>
      </c>
      <c r="D19" s="28" t="s">
        <v>98</v>
      </c>
      <c r="E19" s="28" t="s">
        <v>57</v>
      </c>
      <c r="F19" s="28" t="s">
        <v>98</v>
      </c>
      <c r="G19" s="28" t="s">
        <v>98</v>
      </c>
      <c r="H19" s="28" t="s">
        <v>57</v>
      </c>
      <c r="I19" s="29" t="s">
        <v>422</v>
      </c>
    </row>
    <row r="20" ht="30" customHeight="1" spans="1:9">
      <c r="A20" s="16" t="s">
        <v>254</v>
      </c>
      <c r="B20" s="23" t="s">
        <v>420</v>
      </c>
      <c r="C20" s="28" t="s">
        <v>57</v>
      </c>
      <c r="D20" s="28" t="s">
        <v>98</v>
      </c>
      <c r="E20" s="28" t="s">
        <v>98</v>
      </c>
      <c r="F20" s="28" t="s">
        <v>98</v>
      </c>
      <c r="G20" s="28" t="s">
        <v>98</v>
      </c>
      <c r="H20" s="28" t="s">
        <v>57</v>
      </c>
      <c r="I20" s="29" t="s">
        <v>423</v>
      </c>
    </row>
    <row r="21" ht="30" customHeight="1" spans="1:9">
      <c r="A21" s="16" t="s">
        <v>256</v>
      </c>
      <c r="B21" s="23" t="s">
        <v>420</v>
      </c>
      <c r="C21" s="28" t="s">
        <v>57</v>
      </c>
      <c r="D21" s="28" t="s">
        <v>98</v>
      </c>
      <c r="E21" s="28" t="s">
        <v>57</v>
      </c>
      <c r="F21" s="28" t="s">
        <v>400</v>
      </c>
      <c r="G21" s="28" t="s">
        <v>400</v>
      </c>
      <c r="H21" s="28" t="s">
        <v>57</v>
      </c>
      <c r="I21" s="29" t="s">
        <v>424</v>
      </c>
    </row>
    <row r="22" ht="30" customHeight="1" spans="1:9">
      <c r="A22" s="16" t="s">
        <v>258</v>
      </c>
      <c r="B22" s="23" t="s">
        <v>420</v>
      </c>
      <c r="C22" s="28" t="s">
        <v>57</v>
      </c>
      <c r="D22" s="28" t="s">
        <v>400</v>
      </c>
      <c r="E22" s="28" t="s">
        <v>400</v>
      </c>
      <c r="F22" s="28" t="s">
        <v>400</v>
      </c>
      <c r="G22" s="28" t="s">
        <v>400</v>
      </c>
      <c r="H22" s="28" t="s">
        <v>98</v>
      </c>
      <c r="I22" s="29" t="s">
        <v>425</v>
      </c>
    </row>
    <row r="23" ht="30" customHeight="1" spans="1:9">
      <c r="A23" s="16" t="s">
        <v>260</v>
      </c>
      <c r="B23" s="23" t="s">
        <v>420</v>
      </c>
      <c r="C23" s="28" t="s">
        <v>57</v>
      </c>
      <c r="D23" s="28" t="s">
        <v>400</v>
      </c>
      <c r="E23" s="28" t="s">
        <v>400</v>
      </c>
      <c r="F23" s="28" t="s">
        <v>400</v>
      </c>
      <c r="G23" s="28" t="s">
        <v>400</v>
      </c>
      <c r="H23" s="28" t="s">
        <v>400</v>
      </c>
      <c r="I23" s="29" t="s">
        <v>426</v>
      </c>
    </row>
    <row r="24" ht="30" customHeight="1" spans="1:9">
      <c r="A24" s="16" t="s">
        <v>263</v>
      </c>
      <c r="B24" s="23" t="s">
        <v>420</v>
      </c>
      <c r="C24" s="28" t="s">
        <v>57</v>
      </c>
      <c r="D24" s="28" t="s">
        <v>400</v>
      </c>
      <c r="E24" s="28" t="s">
        <v>400</v>
      </c>
      <c r="F24" s="28" t="s">
        <v>400</v>
      </c>
      <c r="G24" s="28" t="s">
        <v>400</v>
      </c>
      <c r="H24" s="28" t="s">
        <v>98</v>
      </c>
      <c r="I24" s="29" t="s">
        <v>427</v>
      </c>
    </row>
    <row r="25" ht="30" customHeight="1" spans="1:9">
      <c r="A25" s="16" t="s">
        <v>265</v>
      </c>
      <c r="B25" s="23" t="s">
        <v>420</v>
      </c>
      <c r="C25" s="28" t="s">
        <v>98</v>
      </c>
      <c r="D25" s="28" t="s">
        <v>400</v>
      </c>
      <c r="E25" s="28" t="s">
        <v>400</v>
      </c>
      <c r="F25" s="28" t="s">
        <v>400</v>
      </c>
      <c r="G25" s="28" t="s">
        <v>400</v>
      </c>
      <c r="H25" s="28" t="s">
        <v>400</v>
      </c>
      <c r="I25" s="29" t="s">
        <v>428</v>
      </c>
    </row>
    <row r="26" ht="30" customHeight="1" spans="1:9">
      <c r="A26" s="16" t="s">
        <v>267</v>
      </c>
      <c r="B26" s="23" t="s">
        <v>420</v>
      </c>
      <c r="C26" s="28" t="s">
        <v>57</v>
      </c>
      <c r="D26" s="28" t="s">
        <v>400</v>
      </c>
      <c r="E26" s="28" t="s">
        <v>400</v>
      </c>
      <c r="F26" s="28" t="s">
        <v>400</v>
      </c>
      <c r="G26" s="28" t="s">
        <v>400</v>
      </c>
      <c r="H26" s="28" t="s">
        <v>400</v>
      </c>
      <c r="I26" s="29" t="s">
        <v>429</v>
      </c>
    </row>
    <row r="27" ht="31.5" customHeight="1" spans="1:9">
      <c r="A27" s="16" t="s">
        <v>269</v>
      </c>
      <c r="B27" s="23" t="s">
        <v>420</v>
      </c>
      <c r="C27" s="28" t="s">
        <v>57</v>
      </c>
      <c r="D27" s="28" t="s">
        <v>98</v>
      </c>
      <c r="E27" s="28" t="s">
        <v>98</v>
      </c>
      <c r="F27" s="28" t="s">
        <v>98</v>
      </c>
      <c r="G27" s="28" t="s">
        <v>98</v>
      </c>
      <c r="H27" s="28" t="s">
        <v>57</v>
      </c>
      <c r="I27" s="29" t="s">
        <v>430</v>
      </c>
    </row>
    <row r="28" ht="31.5" customHeight="1" spans="1:9">
      <c r="A28" s="16" t="s">
        <v>49</v>
      </c>
      <c r="B28" s="23" t="s">
        <v>420</v>
      </c>
      <c r="C28" s="28" t="s">
        <v>57</v>
      </c>
      <c r="D28" s="28" t="s">
        <v>98</v>
      </c>
      <c r="E28" s="28" t="s">
        <v>98</v>
      </c>
      <c r="F28" s="28" t="s">
        <v>98</v>
      </c>
      <c r="G28" s="28" t="s">
        <v>98</v>
      </c>
      <c r="H28" s="28" t="s">
        <v>57</v>
      </c>
      <c r="I28" s="29" t="s">
        <v>431</v>
      </c>
    </row>
    <row r="29" ht="30" customHeight="1" spans="1:9">
      <c r="A29" s="16" t="s">
        <v>184</v>
      </c>
      <c r="B29" s="23" t="s">
        <v>420</v>
      </c>
      <c r="C29" s="28" t="s">
        <v>57</v>
      </c>
      <c r="D29" s="28" t="s">
        <v>98</v>
      </c>
      <c r="E29" s="28" t="s">
        <v>98</v>
      </c>
      <c r="F29" s="28" t="s">
        <v>98</v>
      </c>
      <c r="G29" s="28" t="s">
        <v>98</v>
      </c>
      <c r="H29" s="28" t="s">
        <v>98</v>
      </c>
      <c r="I29" s="29" t="s">
        <v>432</v>
      </c>
    </row>
    <row r="30" ht="31.5" customHeight="1" spans="1:9">
      <c r="A30" s="16" t="s">
        <v>245</v>
      </c>
      <c r="B30" s="23" t="s">
        <v>420</v>
      </c>
      <c r="C30" s="28" t="s">
        <v>57</v>
      </c>
      <c r="D30" s="28" t="s">
        <v>98</v>
      </c>
      <c r="E30" s="28" t="s">
        <v>98</v>
      </c>
      <c r="F30" s="28" t="s">
        <v>98</v>
      </c>
      <c r="G30" s="28" t="s">
        <v>98</v>
      </c>
      <c r="H30" s="28" t="s">
        <v>57</v>
      </c>
      <c r="I30" s="29" t="s">
        <v>433</v>
      </c>
    </row>
    <row r="31" ht="30" customHeight="1" spans="1:9">
      <c r="A31" s="16" t="s">
        <v>286</v>
      </c>
      <c r="B31" s="23" t="s">
        <v>420</v>
      </c>
      <c r="C31" s="28" t="s">
        <v>57</v>
      </c>
      <c r="D31" s="28" t="s">
        <v>98</v>
      </c>
      <c r="E31" s="28" t="s">
        <v>57</v>
      </c>
      <c r="F31" s="28" t="s">
        <v>98</v>
      </c>
      <c r="G31" s="28" t="s">
        <v>98</v>
      </c>
      <c r="H31" s="28" t="s">
        <v>98</v>
      </c>
      <c r="I31" s="29" t="s">
        <v>434</v>
      </c>
    </row>
    <row r="32" ht="30" customHeight="1" spans="1:9">
      <c r="A32" s="16" t="s">
        <v>289</v>
      </c>
      <c r="B32" s="23" t="s">
        <v>420</v>
      </c>
      <c r="C32" s="28" t="s">
        <v>98</v>
      </c>
      <c r="D32" s="28" t="s">
        <v>98</v>
      </c>
      <c r="E32" s="28" t="s">
        <v>98</v>
      </c>
      <c r="F32" s="28" t="s">
        <v>98</v>
      </c>
      <c r="G32" s="28" t="s">
        <v>98</v>
      </c>
      <c r="H32" s="28" t="s">
        <v>98</v>
      </c>
      <c r="I32" s="29" t="s">
        <v>435</v>
      </c>
    </row>
    <row r="33" ht="21.75" customHeight="1" spans="1:9">
      <c r="A33" s="27" t="s">
        <v>405</v>
      </c>
      <c r="B33" s="27"/>
      <c r="C33" s="27"/>
      <c r="D33" s="27"/>
      <c r="E33" s="27"/>
      <c r="F33" s="27"/>
      <c r="G33" s="27"/>
      <c r="H33" s="27"/>
      <c r="I33" s="27"/>
    </row>
    <row r="34" ht="31.5" customHeight="1" spans="1:9">
      <c r="A34" s="16" t="s">
        <v>436</v>
      </c>
      <c r="B34" s="23" t="s">
        <v>405</v>
      </c>
      <c r="C34" s="28" t="s">
        <v>437</v>
      </c>
      <c r="D34" s="28" t="s">
        <v>438</v>
      </c>
      <c r="E34" s="28" t="s">
        <v>438</v>
      </c>
      <c r="F34" s="28" t="s">
        <v>437</v>
      </c>
      <c r="G34" s="28" t="s">
        <v>439</v>
      </c>
      <c r="H34" s="28" t="s">
        <v>438</v>
      </c>
      <c r="I34" s="29" t="s">
        <v>440</v>
      </c>
    </row>
    <row r="35" ht="21.75" customHeight="1" spans="1:9">
      <c r="A35" s="27" t="s">
        <v>441</v>
      </c>
      <c r="B35" s="27"/>
      <c r="C35" s="27"/>
      <c r="D35" s="27"/>
      <c r="E35" s="27"/>
      <c r="F35" s="27"/>
      <c r="G35" s="27"/>
      <c r="H35" s="27"/>
      <c r="I35" s="27"/>
    </row>
    <row r="36" ht="31.5" customHeight="1" spans="1:9">
      <c r="A36" s="16" t="s">
        <v>442</v>
      </c>
      <c r="B36" s="23" t="s">
        <v>441</v>
      </c>
      <c r="C36" s="28" t="s">
        <v>57</v>
      </c>
      <c r="D36" s="28" t="s">
        <v>57</v>
      </c>
      <c r="E36" s="28" t="s">
        <v>57</v>
      </c>
      <c r="F36" s="28" t="s">
        <v>57</v>
      </c>
      <c r="G36" s="28" t="s">
        <v>443</v>
      </c>
      <c r="H36" s="28" t="s">
        <v>57</v>
      </c>
      <c r="I36" s="29" t="s">
        <v>444</v>
      </c>
    </row>
    <row r="37" ht="21.75" customHeight="1" spans="1:9">
      <c r="A37" s="27" t="s">
        <v>445</v>
      </c>
      <c r="B37" s="27"/>
      <c r="C37" s="27"/>
      <c r="D37" s="27"/>
      <c r="E37" s="27"/>
      <c r="F37" s="27"/>
      <c r="G37" s="27"/>
      <c r="H37" s="27"/>
      <c r="I37" s="27"/>
    </row>
    <row r="38" ht="31.5" customHeight="1" spans="1:9">
      <c r="A38" s="16" t="s">
        <v>318</v>
      </c>
      <c r="B38" s="23" t="s">
        <v>445</v>
      </c>
      <c r="C38" s="28" t="s">
        <v>57</v>
      </c>
      <c r="D38" s="28" t="s">
        <v>57</v>
      </c>
      <c r="E38" s="28" t="s">
        <v>57</v>
      </c>
      <c r="F38" s="28" t="s">
        <v>57</v>
      </c>
      <c r="G38" s="28" t="s">
        <v>98</v>
      </c>
      <c r="H38" s="28" t="s">
        <v>57</v>
      </c>
      <c r="I38" s="29" t="s">
        <v>446</v>
      </c>
    </row>
    <row r="39" ht="30" customHeight="1" spans="1:9">
      <c r="A39" s="16" t="s">
        <v>320</v>
      </c>
      <c r="B39" s="23" t="s">
        <v>445</v>
      </c>
      <c r="C39" s="28" t="s">
        <v>57</v>
      </c>
      <c r="D39" s="28" t="s">
        <v>57</v>
      </c>
      <c r="E39" s="28" t="s">
        <v>57</v>
      </c>
      <c r="F39" s="28" t="s">
        <v>57</v>
      </c>
      <c r="G39" s="28" t="s">
        <v>400</v>
      </c>
      <c r="H39" s="28" t="s">
        <v>98</v>
      </c>
      <c r="I39" s="29" t="s">
        <v>447</v>
      </c>
    </row>
    <row r="40" ht="31.5" customHeight="1" spans="1:9">
      <c r="A40" s="16" t="s">
        <v>448</v>
      </c>
      <c r="B40" s="23" t="s">
        <v>445</v>
      </c>
      <c r="C40" s="28" t="s">
        <v>57</v>
      </c>
      <c r="D40" s="28" t="s">
        <v>57</v>
      </c>
      <c r="E40" s="28" t="s">
        <v>57</v>
      </c>
      <c r="F40" s="28" t="s">
        <v>57</v>
      </c>
      <c r="G40" s="28" t="s">
        <v>98</v>
      </c>
      <c r="H40" s="28" t="s">
        <v>98</v>
      </c>
      <c r="I40" s="29" t="s">
        <v>449</v>
      </c>
    </row>
    <row r="41" ht="30" customHeight="1" spans="1:9">
      <c r="A41" s="16" t="s">
        <v>327</v>
      </c>
      <c r="B41" s="23" t="s">
        <v>445</v>
      </c>
      <c r="C41" s="28" t="s">
        <v>57</v>
      </c>
      <c r="D41" s="28" t="s">
        <v>98</v>
      </c>
      <c r="E41" s="28" t="s">
        <v>98</v>
      </c>
      <c r="F41" s="28" t="s">
        <v>98</v>
      </c>
      <c r="G41" s="28" t="s">
        <v>400</v>
      </c>
      <c r="H41" s="28" t="s">
        <v>400</v>
      </c>
      <c r="I41" s="29" t="s">
        <v>450</v>
      </c>
    </row>
    <row r="42" ht="30" customHeight="1" spans="1:9">
      <c r="A42" s="16" t="s">
        <v>451</v>
      </c>
      <c r="B42" s="23" t="s">
        <v>445</v>
      </c>
      <c r="C42" s="28" t="s">
        <v>57</v>
      </c>
      <c r="D42" s="28" t="s">
        <v>57</v>
      </c>
      <c r="E42" s="28" t="s">
        <v>57</v>
      </c>
      <c r="F42" s="28" t="s">
        <v>57</v>
      </c>
      <c r="G42" s="28" t="s">
        <v>400</v>
      </c>
      <c r="H42" s="28" t="s">
        <v>98</v>
      </c>
      <c r="I42" s="29" t="s">
        <v>452</v>
      </c>
    </row>
    <row r="43" ht="30" customHeight="1" spans="1:9">
      <c r="A43" s="16" t="s">
        <v>329</v>
      </c>
      <c r="B43" s="23" t="s">
        <v>445</v>
      </c>
      <c r="C43" s="28" t="s">
        <v>453</v>
      </c>
      <c r="D43" s="28" t="s">
        <v>57</v>
      </c>
      <c r="E43" s="28" t="s">
        <v>57</v>
      </c>
      <c r="F43" s="28" t="s">
        <v>57</v>
      </c>
      <c r="G43" s="28" t="s">
        <v>453</v>
      </c>
      <c r="H43" s="28" t="s">
        <v>57</v>
      </c>
      <c r="I43" s="29" t="s">
        <v>454</v>
      </c>
    </row>
    <row r="44" ht="30" customHeight="1" spans="1:9">
      <c r="A44" s="16" t="s">
        <v>455</v>
      </c>
      <c r="B44" s="23" t="s">
        <v>445</v>
      </c>
      <c r="C44" s="28" t="s">
        <v>57</v>
      </c>
      <c r="D44" s="28" t="s">
        <v>57</v>
      </c>
      <c r="E44" s="28" t="s">
        <v>57</v>
      </c>
      <c r="F44" s="28" t="s">
        <v>98</v>
      </c>
      <c r="G44" s="28" t="s">
        <v>400</v>
      </c>
      <c r="H44" s="28" t="s">
        <v>57</v>
      </c>
      <c r="I44" s="29" t="s">
        <v>456</v>
      </c>
    </row>
    <row r="45" ht="21.75" customHeight="1" spans="1:9">
      <c r="A45" s="27" t="s">
        <v>441</v>
      </c>
      <c r="B45" s="27"/>
      <c r="C45" s="27"/>
      <c r="D45" s="27"/>
      <c r="E45" s="27"/>
      <c r="F45" s="27"/>
      <c r="G45" s="27"/>
      <c r="H45" s="27"/>
      <c r="I45" s="27"/>
    </row>
    <row r="46" ht="30" customHeight="1" spans="1:9">
      <c r="A46" s="16" t="s">
        <v>339</v>
      </c>
      <c r="B46" s="23" t="s">
        <v>441</v>
      </c>
      <c r="C46" s="28" t="s">
        <v>457</v>
      </c>
      <c r="D46" s="28" t="s">
        <v>57</v>
      </c>
      <c r="E46" s="28" t="s">
        <v>57</v>
      </c>
      <c r="F46" s="28" t="s">
        <v>57</v>
      </c>
      <c r="G46" s="28" t="s">
        <v>400</v>
      </c>
      <c r="H46" s="28" t="s">
        <v>98</v>
      </c>
      <c r="I46" s="29" t="s">
        <v>458</v>
      </c>
    </row>
    <row r="47" ht="21.75" customHeight="1" spans="1:9">
      <c r="A47" s="27" t="s">
        <v>459</v>
      </c>
      <c r="B47" s="27"/>
      <c r="C47" s="27"/>
      <c r="D47" s="27"/>
      <c r="E47" s="27"/>
      <c r="F47" s="27"/>
      <c r="G47" s="27"/>
      <c r="H47" s="27"/>
      <c r="I47" s="27"/>
    </row>
    <row r="48" ht="31.5" customHeight="1" spans="1:9">
      <c r="A48" s="16" t="s">
        <v>460</v>
      </c>
      <c r="B48" s="23" t="s">
        <v>459</v>
      </c>
      <c r="C48" s="28" t="s">
        <v>98</v>
      </c>
      <c r="D48" s="28" t="s">
        <v>461</v>
      </c>
      <c r="E48" s="28" t="s">
        <v>98</v>
      </c>
      <c r="F48" s="28" t="s">
        <v>400</v>
      </c>
      <c r="G48" s="28" t="s">
        <v>400</v>
      </c>
      <c r="H48" s="28" t="s">
        <v>400</v>
      </c>
      <c r="I48" s="29" t="s">
        <v>462</v>
      </c>
    </row>
    <row r="49" ht="30" customHeight="1" spans="1:9">
      <c r="A49" s="16" t="s">
        <v>335</v>
      </c>
      <c r="B49" s="23" t="s">
        <v>459</v>
      </c>
      <c r="C49" s="28" t="s">
        <v>400</v>
      </c>
      <c r="D49" s="28" t="s">
        <v>57</v>
      </c>
      <c r="E49" s="28" t="s">
        <v>400</v>
      </c>
      <c r="F49" s="28" t="s">
        <v>400</v>
      </c>
      <c r="G49" s="28" t="s">
        <v>400</v>
      </c>
      <c r="H49" s="28" t="s">
        <v>400</v>
      </c>
      <c r="I49" s="29" t="s">
        <v>463</v>
      </c>
    </row>
    <row r="50" ht="21.75" customHeight="1" spans="1:9">
      <c r="A50" s="27" t="s">
        <v>445</v>
      </c>
      <c r="B50" s="27"/>
      <c r="C50" s="27"/>
      <c r="D50" s="27"/>
      <c r="E50" s="27"/>
      <c r="F50" s="27"/>
      <c r="G50" s="27"/>
      <c r="H50" s="27"/>
      <c r="I50" s="27"/>
    </row>
    <row r="51" ht="30" customHeight="1" spans="1:9">
      <c r="A51" s="16" t="s">
        <v>337</v>
      </c>
      <c r="B51" s="23" t="s">
        <v>445</v>
      </c>
      <c r="C51" s="28" t="s">
        <v>400</v>
      </c>
      <c r="D51" s="28" t="s">
        <v>57</v>
      </c>
      <c r="E51" s="28" t="s">
        <v>400</v>
      </c>
      <c r="F51" s="28" t="s">
        <v>400</v>
      </c>
      <c r="G51" s="28" t="s">
        <v>400</v>
      </c>
      <c r="H51" s="28" t="s">
        <v>400</v>
      </c>
      <c r="I51" s="29" t="s">
        <v>464</v>
      </c>
    </row>
    <row r="52" ht="21.75" customHeight="1" spans="1:9">
      <c r="A52" s="27" t="s">
        <v>441</v>
      </c>
      <c r="B52" s="27"/>
      <c r="C52" s="27"/>
      <c r="D52" s="27"/>
      <c r="E52" s="27"/>
      <c r="F52" s="27"/>
      <c r="G52" s="27"/>
      <c r="H52" s="27"/>
      <c r="I52" s="27"/>
    </row>
    <row r="53" ht="31.5" customHeight="1" spans="1:9">
      <c r="A53" s="16" t="s">
        <v>465</v>
      </c>
      <c r="B53" s="23" t="s">
        <v>441</v>
      </c>
      <c r="C53" s="28" t="s">
        <v>400</v>
      </c>
      <c r="D53" s="28" t="s">
        <v>400</v>
      </c>
      <c r="E53" s="28" t="s">
        <v>400</v>
      </c>
      <c r="F53" s="28" t="s">
        <v>400</v>
      </c>
      <c r="G53" s="28" t="s">
        <v>57</v>
      </c>
      <c r="H53" s="28" t="s">
        <v>57</v>
      </c>
      <c r="I53" s="29" t="s">
        <v>466</v>
      </c>
    </row>
    <row r="54" ht="21.75" customHeight="1" spans="1:9">
      <c r="A54" s="27" t="s">
        <v>445</v>
      </c>
      <c r="B54" s="27"/>
      <c r="C54" s="27"/>
      <c r="D54" s="27"/>
      <c r="E54" s="27"/>
      <c r="F54" s="27"/>
      <c r="G54" s="27"/>
      <c r="H54" s="27"/>
      <c r="I54" s="27"/>
    </row>
    <row r="55" ht="31.5" customHeight="1" spans="1:9">
      <c r="A55" s="16" t="s">
        <v>467</v>
      </c>
      <c r="B55" s="23" t="s">
        <v>445</v>
      </c>
      <c r="C55" s="28" t="s">
        <v>400</v>
      </c>
      <c r="D55" s="28" t="s">
        <v>400</v>
      </c>
      <c r="E55" s="28" t="s">
        <v>400</v>
      </c>
      <c r="F55" s="28" t="s">
        <v>400</v>
      </c>
      <c r="G55" s="28" t="s">
        <v>98</v>
      </c>
      <c r="H55" s="28" t="s">
        <v>57</v>
      </c>
      <c r="I55" s="29" t="s">
        <v>468</v>
      </c>
    </row>
    <row r="56" ht="21.75" customHeight="1" spans="1:9">
      <c r="A56" s="27" t="s">
        <v>441</v>
      </c>
      <c r="B56" s="27"/>
      <c r="C56" s="27"/>
      <c r="D56" s="27"/>
      <c r="E56" s="27"/>
      <c r="F56" s="27"/>
      <c r="G56" s="27"/>
      <c r="H56" s="27"/>
      <c r="I56" s="27"/>
    </row>
    <row r="57" ht="30" customHeight="1" spans="1:9">
      <c r="A57" s="16" t="s">
        <v>469</v>
      </c>
      <c r="B57" s="23" t="s">
        <v>441</v>
      </c>
      <c r="C57" s="28" t="s">
        <v>400</v>
      </c>
      <c r="D57" s="28" t="s">
        <v>400</v>
      </c>
      <c r="E57" s="28" t="s">
        <v>400</v>
      </c>
      <c r="F57" s="28" t="s">
        <v>400</v>
      </c>
      <c r="G57" s="28" t="s">
        <v>98</v>
      </c>
      <c r="H57" s="28" t="s">
        <v>57</v>
      </c>
      <c r="I57" s="29" t="s">
        <v>470</v>
      </c>
    </row>
    <row r="58" ht="21.75" customHeight="1" spans="1:9">
      <c r="A58" s="27" t="s">
        <v>420</v>
      </c>
      <c r="B58" s="27"/>
      <c r="C58" s="27"/>
      <c r="D58" s="27"/>
      <c r="E58" s="27"/>
      <c r="F58" s="27"/>
      <c r="G58" s="27"/>
      <c r="H58" s="27"/>
      <c r="I58" s="27"/>
    </row>
    <row r="59" ht="30" customHeight="1" spans="1:9">
      <c r="A59" s="16" t="s">
        <v>471</v>
      </c>
      <c r="B59" s="23" t="s">
        <v>420</v>
      </c>
      <c r="C59" s="28" t="s">
        <v>400</v>
      </c>
      <c r="D59" s="28" t="s">
        <v>400</v>
      </c>
      <c r="E59" s="28" t="s">
        <v>400</v>
      </c>
      <c r="F59" s="28" t="s">
        <v>400</v>
      </c>
      <c r="G59" s="28" t="s">
        <v>57</v>
      </c>
      <c r="H59" s="28" t="s">
        <v>400</v>
      </c>
      <c r="I59" s="29" t="s">
        <v>472</v>
      </c>
    </row>
    <row r="60" ht="21.75" customHeight="1" spans="1:9">
      <c r="A60" s="27" t="s">
        <v>441</v>
      </c>
      <c r="B60" s="27"/>
      <c r="C60" s="27"/>
      <c r="D60" s="27"/>
      <c r="E60" s="27"/>
      <c r="F60" s="27"/>
      <c r="G60" s="27"/>
      <c r="H60" s="27"/>
      <c r="I60" s="27"/>
    </row>
    <row r="61" ht="30" customHeight="1" spans="1:9">
      <c r="A61" s="16" t="s">
        <v>473</v>
      </c>
      <c r="B61" s="23" t="s">
        <v>441</v>
      </c>
      <c r="C61" s="28" t="s">
        <v>400</v>
      </c>
      <c r="D61" s="28" t="s">
        <v>400</v>
      </c>
      <c r="E61" s="28" t="s">
        <v>400</v>
      </c>
      <c r="F61" s="28" t="s">
        <v>400</v>
      </c>
      <c r="G61" s="28" t="s">
        <v>57</v>
      </c>
      <c r="H61" s="28" t="s">
        <v>400</v>
      </c>
      <c r="I61" s="29" t="s">
        <v>474</v>
      </c>
    </row>
    <row r="62" ht="21.75" customHeight="1" spans="1:9">
      <c r="A62" s="27" t="s">
        <v>459</v>
      </c>
      <c r="B62" s="27"/>
      <c r="C62" s="27"/>
      <c r="D62" s="27"/>
      <c r="E62" s="27"/>
      <c r="F62" s="27"/>
      <c r="G62" s="27"/>
      <c r="H62" s="27"/>
      <c r="I62" s="27"/>
    </row>
    <row r="63" ht="30" customHeight="1" spans="1:9">
      <c r="A63" s="16" t="s">
        <v>475</v>
      </c>
      <c r="B63" s="23" t="s">
        <v>459</v>
      </c>
      <c r="C63" s="28" t="s">
        <v>400</v>
      </c>
      <c r="D63" s="28" t="s">
        <v>400</v>
      </c>
      <c r="E63" s="28" t="s">
        <v>400</v>
      </c>
      <c r="F63" s="28" t="s">
        <v>400</v>
      </c>
      <c r="G63" s="28" t="s">
        <v>98</v>
      </c>
      <c r="H63" s="28" t="s">
        <v>400</v>
      </c>
      <c r="I63" s="29" t="s">
        <v>476</v>
      </c>
    </row>
    <row r="64" ht="21.75" customHeight="1" spans="1:9">
      <c r="A64" s="27" t="s">
        <v>477</v>
      </c>
      <c r="B64" s="27"/>
      <c r="C64" s="27"/>
      <c r="D64" s="27"/>
      <c r="E64" s="27"/>
      <c r="F64" s="27"/>
      <c r="G64" s="27"/>
      <c r="H64" s="27"/>
      <c r="I64" s="27"/>
    </row>
    <row r="65" ht="30" customHeight="1" spans="1:9">
      <c r="A65" s="16" t="s">
        <v>478</v>
      </c>
      <c r="B65" s="23" t="s">
        <v>477</v>
      </c>
      <c r="C65" s="28" t="s">
        <v>400</v>
      </c>
      <c r="D65" s="28" t="s">
        <v>400</v>
      </c>
      <c r="E65" s="28" t="s">
        <v>400</v>
      </c>
      <c r="F65" s="28" t="s">
        <v>57</v>
      </c>
      <c r="G65" s="28" t="s">
        <v>400</v>
      </c>
      <c r="H65" s="28" t="s">
        <v>400</v>
      </c>
      <c r="I65" s="29" t="s">
        <v>479</v>
      </c>
    </row>
    <row r="66" ht="31.5" customHeight="1" spans="1:9">
      <c r="A66" s="16" t="s">
        <v>480</v>
      </c>
      <c r="B66" s="23" t="s">
        <v>477</v>
      </c>
      <c r="C66" s="28" t="s">
        <v>400</v>
      </c>
      <c r="D66" s="28" t="s">
        <v>400</v>
      </c>
      <c r="E66" s="28" t="s">
        <v>400</v>
      </c>
      <c r="F66" s="28" t="s">
        <v>57</v>
      </c>
      <c r="G66" s="28" t="s">
        <v>400</v>
      </c>
      <c r="H66" s="28" t="s">
        <v>400</v>
      </c>
      <c r="I66" s="29" t="s">
        <v>481</v>
      </c>
    </row>
    <row r="67" ht="30" customHeight="1" spans="1:9">
      <c r="A67" s="16" t="s">
        <v>375</v>
      </c>
      <c r="B67" s="23" t="s">
        <v>477</v>
      </c>
      <c r="C67" s="28" t="s">
        <v>400</v>
      </c>
      <c r="D67" s="28" t="s">
        <v>98</v>
      </c>
      <c r="E67" s="28" t="s">
        <v>98</v>
      </c>
      <c r="F67" s="28" t="s">
        <v>57</v>
      </c>
      <c r="G67" s="28" t="s">
        <v>98</v>
      </c>
      <c r="H67" s="28" t="s">
        <v>400</v>
      </c>
      <c r="I67" s="29" t="s">
        <v>482</v>
      </c>
    </row>
    <row r="68" ht="31.5" customHeight="1" spans="1:9">
      <c r="A68" s="16" t="s">
        <v>483</v>
      </c>
      <c r="B68" s="23" t="s">
        <v>477</v>
      </c>
      <c r="C68" s="28" t="s">
        <v>400</v>
      </c>
      <c r="D68" s="28" t="s">
        <v>57</v>
      </c>
      <c r="E68" s="28" t="s">
        <v>57</v>
      </c>
      <c r="F68" s="28" t="s">
        <v>57</v>
      </c>
      <c r="G68" s="28" t="s">
        <v>400</v>
      </c>
      <c r="H68" s="28" t="s">
        <v>400</v>
      </c>
      <c r="I68" s="29" t="s">
        <v>484</v>
      </c>
    </row>
    <row r="69" ht="30" customHeight="1" spans="1:9">
      <c r="A69" s="16" t="s">
        <v>485</v>
      </c>
      <c r="B69" s="23" t="s">
        <v>477</v>
      </c>
      <c r="C69" s="28" t="s">
        <v>400</v>
      </c>
      <c r="D69" s="28" t="s">
        <v>57</v>
      </c>
      <c r="E69" s="28" t="s">
        <v>57</v>
      </c>
      <c r="F69" s="28" t="s">
        <v>57</v>
      </c>
      <c r="G69" s="28" t="s">
        <v>400</v>
      </c>
      <c r="H69" s="28" t="s">
        <v>400</v>
      </c>
      <c r="I69" s="29" t="s">
        <v>486</v>
      </c>
    </row>
    <row r="70" ht="21.75" customHeight="1" spans="1:9">
      <c r="A70" s="27" t="s">
        <v>487</v>
      </c>
      <c r="B70" s="27"/>
      <c r="C70" s="27"/>
      <c r="D70" s="27"/>
      <c r="E70" s="27"/>
      <c r="F70" s="27"/>
      <c r="G70" s="27"/>
      <c r="H70" s="27"/>
      <c r="I70" s="27"/>
    </row>
    <row r="71" ht="31.5" customHeight="1" spans="1:9">
      <c r="A71" s="16" t="s">
        <v>488</v>
      </c>
      <c r="B71" s="23" t="s">
        <v>487</v>
      </c>
      <c r="C71" s="28" t="s">
        <v>57</v>
      </c>
      <c r="D71" s="28" t="s">
        <v>57</v>
      </c>
      <c r="E71" s="28" t="s">
        <v>57</v>
      </c>
      <c r="F71" s="28" t="s">
        <v>57</v>
      </c>
      <c r="G71" s="28" t="s">
        <v>489</v>
      </c>
      <c r="H71" s="28" t="s">
        <v>57</v>
      </c>
      <c r="I71" s="29" t="s">
        <v>490</v>
      </c>
    </row>
    <row r="72" ht="31.5" customHeight="1" spans="1:9">
      <c r="A72" s="16" t="s">
        <v>491</v>
      </c>
      <c r="B72" s="23" t="s">
        <v>487</v>
      </c>
      <c r="C72" s="28" t="s">
        <v>57</v>
      </c>
      <c r="D72" s="28" t="s">
        <v>57</v>
      </c>
      <c r="E72" s="28" t="s">
        <v>57</v>
      </c>
      <c r="F72" s="28" t="s">
        <v>57</v>
      </c>
      <c r="G72" s="28" t="s">
        <v>400</v>
      </c>
      <c r="H72" s="28" t="s">
        <v>400</v>
      </c>
      <c r="I72" s="29" t="s">
        <v>492</v>
      </c>
    </row>
  </sheetData>
  <autoFilter xmlns:etc="http://www.wps.cn/officeDocument/2017/etCustomData" ref="A3:I72" etc:filterBottomFollowUsedRange="0">
    <extLst/>
  </autoFilter>
  <mergeCells count="20">
    <mergeCell ref="A1:I1"/>
    <mergeCell ref="A2:I2"/>
    <mergeCell ref="A4:I4"/>
    <mergeCell ref="A9:I9"/>
    <mergeCell ref="A13:I13"/>
    <mergeCell ref="A18:I18"/>
    <mergeCell ref="A33:I33"/>
    <mergeCell ref="A35:I35"/>
    <mergeCell ref="A37:I37"/>
    <mergeCell ref="A45:I45"/>
    <mergeCell ref="A47:I47"/>
    <mergeCell ref="A50:I50"/>
    <mergeCell ref="A52:I52"/>
    <mergeCell ref="A54:I54"/>
    <mergeCell ref="A56:I56"/>
    <mergeCell ref="A58:I58"/>
    <mergeCell ref="A60:I60"/>
    <mergeCell ref="A62:I62"/>
    <mergeCell ref="A64:I64"/>
    <mergeCell ref="A70:I70"/>
  </mergeCells>
  <conditionalFormatting sqref="C4:H72">
    <cfRule type="cellIs" dxfId="0" priority="2" operator="equal">
      <formula>"必填"</formula>
    </cfRule>
    <cfRule type="cellIs" dxfId="1" priority="3" operator="equal">
      <formula>"必填*"</formula>
    </cfRule>
    <cfRule type="cellIs" dxfId="2" priority="4" operator="equal">
      <formula>"待核实"</formula>
    </cfRule>
    <cfRule type="cellIs" dxfId="3" priority="5" operator="equal">
      <formula>"—"</formula>
    </cfRule>
  </conditionalFormatting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F145"/>
  <sheetViews>
    <sheetView showGridLines="0" topLeftCell="A16" workbookViewId="0">
      <selection activeCell="A1" sqref="A1:F1"/>
    </sheetView>
  </sheetViews>
  <sheetFormatPr defaultColWidth="7.8984375" defaultRowHeight="16" outlineLevelCol="5"/>
  <cols>
    <col min="1" max="1" width="3.640625" customWidth="1"/>
    <col min="2" max="2" width="21.84375" customWidth="1"/>
    <col min="3" max="3" width="9.1015625" customWidth="1"/>
    <col min="4" max="4" width="14.5625" customWidth="1"/>
    <col min="5" max="5" width="41.8515625" customWidth="1"/>
    <col min="6" max="6" width="36.390625" customWidth="1"/>
  </cols>
  <sheetData>
    <row r="1" ht="33.75" customHeight="1" spans="1:6">
      <c r="A1" s="1" t="s">
        <v>493</v>
      </c>
      <c r="B1" s="1"/>
      <c r="C1" s="1"/>
      <c r="D1" s="1"/>
      <c r="E1" s="1"/>
      <c r="F1" s="1"/>
    </row>
    <row r="2" ht="25.5" customHeight="1" spans="1:6">
      <c r="A2" s="13" t="s">
        <v>494</v>
      </c>
      <c r="B2" s="13"/>
      <c r="C2" s="13"/>
      <c r="D2" s="13"/>
      <c r="E2" s="13"/>
      <c r="F2" s="13"/>
    </row>
    <row r="3" ht="25.5" customHeight="1" spans="1:6">
      <c r="A3" s="14" t="s">
        <v>495</v>
      </c>
      <c r="B3" s="14"/>
      <c r="C3" s="14"/>
      <c r="D3" s="14"/>
      <c r="E3" s="14"/>
      <c r="F3" s="14"/>
    </row>
    <row r="4" ht="21.75" customHeight="1" spans="1:6">
      <c r="A4" s="15" t="s">
        <v>496</v>
      </c>
      <c r="B4" s="15" t="s">
        <v>39</v>
      </c>
      <c r="C4" s="15" t="s">
        <v>57</v>
      </c>
      <c r="D4" s="15" t="s">
        <v>497</v>
      </c>
      <c r="E4" s="15" t="s">
        <v>498</v>
      </c>
      <c r="F4" s="15" t="s">
        <v>499</v>
      </c>
    </row>
    <row r="5" ht="31.5" customHeight="1" spans="1:6">
      <c r="A5" s="23">
        <v>1</v>
      </c>
      <c r="B5" s="16" t="s">
        <v>500</v>
      </c>
      <c r="C5" s="24" t="s">
        <v>57</v>
      </c>
      <c r="D5" s="25" t="s">
        <v>501</v>
      </c>
      <c r="E5" s="17" t="s">
        <v>502</v>
      </c>
      <c r="F5" s="22" t="s">
        <v>503</v>
      </c>
    </row>
    <row r="6" ht="31.5" customHeight="1" spans="1:6">
      <c r="A6" s="23">
        <v>2</v>
      </c>
      <c r="B6" s="16" t="s">
        <v>504</v>
      </c>
      <c r="C6" s="24" t="s">
        <v>57</v>
      </c>
      <c r="D6" s="25" t="s">
        <v>505</v>
      </c>
      <c r="E6" s="17" t="s">
        <v>506</v>
      </c>
      <c r="F6" s="22" t="s">
        <v>507</v>
      </c>
    </row>
    <row r="7" ht="31.5" customHeight="1" spans="1:6">
      <c r="A7" s="23">
        <v>3</v>
      </c>
      <c r="B7" s="16" t="s">
        <v>508</v>
      </c>
      <c r="C7" s="24" t="s">
        <v>57</v>
      </c>
      <c r="D7" s="25" t="s">
        <v>509</v>
      </c>
      <c r="E7" s="17" t="s">
        <v>510</v>
      </c>
      <c r="F7" s="22" t="s">
        <v>511</v>
      </c>
    </row>
    <row r="8" ht="31.5" customHeight="1" spans="1:6">
      <c r="A8" s="23">
        <v>4</v>
      </c>
      <c r="B8" s="16" t="s">
        <v>512</v>
      </c>
      <c r="C8" s="24" t="s">
        <v>57</v>
      </c>
      <c r="D8" s="25" t="s">
        <v>509</v>
      </c>
      <c r="E8" s="17" t="s">
        <v>513</v>
      </c>
      <c r="F8" s="22" t="s">
        <v>514</v>
      </c>
    </row>
    <row r="9" ht="31.5" customHeight="1" spans="1:6">
      <c r="A9" s="23">
        <v>5</v>
      </c>
      <c r="B9" s="16" t="s">
        <v>515</v>
      </c>
      <c r="C9" s="24" t="s">
        <v>57</v>
      </c>
      <c r="D9" s="25" t="s">
        <v>516</v>
      </c>
      <c r="E9" s="17" t="s">
        <v>517</v>
      </c>
      <c r="F9" s="22" t="s">
        <v>518</v>
      </c>
    </row>
    <row r="10" ht="31.5" customHeight="1" spans="1:6">
      <c r="A10" s="23">
        <v>6</v>
      </c>
      <c r="B10" s="16" t="s">
        <v>519</v>
      </c>
      <c r="C10" s="25" t="s">
        <v>98</v>
      </c>
      <c r="D10" s="25" t="s">
        <v>520</v>
      </c>
      <c r="E10" s="17" t="s">
        <v>521</v>
      </c>
      <c r="F10" s="22"/>
    </row>
    <row r="11" ht="31.5" customHeight="1" spans="1:6">
      <c r="A11" s="23">
        <v>7</v>
      </c>
      <c r="B11" s="16" t="s">
        <v>522</v>
      </c>
      <c r="C11" s="24" t="s">
        <v>57</v>
      </c>
      <c r="D11" s="25" t="s">
        <v>523</v>
      </c>
      <c r="E11" s="17" t="s">
        <v>524</v>
      </c>
      <c r="F11" s="22" t="s">
        <v>525</v>
      </c>
    </row>
    <row r="12" ht="31.5" customHeight="1" spans="1:6">
      <c r="A12" s="23">
        <v>8</v>
      </c>
      <c r="B12" s="16" t="s">
        <v>526</v>
      </c>
      <c r="C12" s="24" t="s">
        <v>57</v>
      </c>
      <c r="D12" s="25" t="s">
        <v>523</v>
      </c>
      <c r="E12" s="17" t="s">
        <v>527</v>
      </c>
      <c r="F12" s="22" t="s">
        <v>528</v>
      </c>
    </row>
    <row r="13" ht="31.5" customHeight="1" spans="1:6">
      <c r="A13" s="23">
        <v>9</v>
      </c>
      <c r="B13" s="16" t="s">
        <v>416</v>
      </c>
      <c r="C13" s="25" t="s">
        <v>98</v>
      </c>
      <c r="D13" s="25" t="s">
        <v>529</v>
      </c>
      <c r="E13" s="17" t="s">
        <v>530</v>
      </c>
      <c r="F13" s="22" t="s">
        <v>531</v>
      </c>
    </row>
    <row r="14" ht="31.5" customHeight="1" spans="1:6">
      <c r="A14" s="23">
        <v>10</v>
      </c>
      <c r="B14" s="16" t="s">
        <v>247</v>
      </c>
      <c r="C14" s="24" t="s">
        <v>57</v>
      </c>
      <c r="D14" s="25" t="s">
        <v>509</v>
      </c>
      <c r="E14" s="17" t="s">
        <v>532</v>
      </c>
      <c r="F14" s="22"/>
    </row>
    <row r="15" ht="31.5" customHeight="1" spans="1:6">
      <c r="A15" s="23">
        <v>11</v>
      </c>
      <c r="B15" s="16" t="s">
        <v>533</v>
      </c>
      <c r="C15" s="24" t="s">
        <v>461</v>
      </c>
      <c r="D15" s="25" t="s">
        <v>534</v>
      </c>
      <c r="E15" s="17" t="s">
        <v>535</v>
      </c>
      <c r="F15" s="22" t="s">
        <v>536</v>
      </c>
    </row>
    <row r="16" ht="31.5" customHeight="1" spans="1:6">
      <c r="A16" s="23">
        <v>12</v>
      </c>
      <c r="B16" s="16" t="s">
        <v>260</v>
      </c>
      <c r="C16" s="24" t="s">
        <v>461</v>
      </c>
      <c r="D16" s="25" t="s">
        <v>509</v>
      </c>
      <c r="E16" s="17" t="s">
        <v>537</v>
      </c>
      <c r="F16" s="22" t="s">
        <v>538</v>
      </c>
    </row>
    <row r="17" ht="31.5" customHeight="1" spans="1:6">
      <c r="A17" s="23">
        <v>13</v>
      </c>
      <c r="B17" s="16" t="s">
        <v>539</v>
      </c>
      <c r="C17" s="24" t="s">
        <v>57</v>
      </c>
      <c r="D17" s="25" t="s">
        <v>540</v>
      </c>
      <c r="E17" s="17" t="s">
        <v>541</v>
      </c>
      <c r="F17" s="22"/>
    </row>
    <row r="18" ht="31.5" customHeight="1" spans="1:6">
      <c r="A18" s="23">
        <v>14</v>
      </c>
      <c r="B18" s="16" t="s">
        <v>184</v>
      </c>
      <c r="C18" s="24" t="s">
        <v>57</v>
      </c>
      <c r="D18" s="25" t="s">
        <v>542</v>
      </c>
      <c r="E18" s="17" t="s">
        <v>543</v>
      </c>
      <c r="F18" s="22"/>
    </row>
    <row r="19" ht="31.5" customHeight="1" spans="1:6">
      <c r="A19" s="23">
        <v>15</v>
      </c>
      <c r="B19" s="16" t="s">
        <v>289</v>
      </c>
      <c r="C19" s="25" t="s">
        <v>98</v>
      </c>
      <c r="D19" s="25" t="s">
        <v>540</v>
      </c>
      <c r="E19" s="17" t="s">
        <v>544</v>
      </c>
      <c r="F19" s="22"/>
    </row>
    <row r="20" ht="31.5" customHeight="1" spans="1:6">
      <c r="A20" s="23">
        <v>16</v>
      </c>
      <c r="B20" s="16" t="s">
        <v>263</v>
      </c>
      <c r="C20" s="24" t="s">
        <v>461</v>
      </c>
      <c r="D20" s="25" t="s">
        <v>509</v>
      </c>
      <c r="E20" s="17" t="s">
        <v>545</v>
      </c>
      <c r="F20" s="22" t="s">
        <v>538</v>
      </c>
    </row>
    <row r="21" ht="31.5" customHeight="1" spans="1:6">
      <c r="A21" s="23">
        <v>17</v>
      </c>
      <c r="B21" s="16" t="s">
        <v>265</v>
      </c>
      <c r="C21" s="25" t="s">
        <v>98</v>
      </c>
      <c r="D21" s="25" t="s">
        <v>509</v>
      </c>
      <c r="E21" s="17" t="s">
        <v>546</v>
      </c>
      <c r="F21" s="22"/>
    </row>
    <row r="22" ht="31.5" customHeight="1" spans="1:6">
      <c r="A22" s="23">
        <v>18</v>
      </c>
      <c r="B22" s="16" t="s">
        <v>547</v>
      </c>
      <c r="C22" s="25" t="s">
        <v>98</v>
      </c>
      <c r="D22" s="25" t="s">
        <v>542</v>
      </c>
      <c r="E22" s="17" t="s">
        <v>548</v>
      </c>
      <c r="F22" s="22"/>
    </row>
    <row r="23" ht="31.5" customHeight="1" spans="1:6">
      <c r="A23" s="23">
        <v>19</v>
      </c>
      <c r="B23" s="16" t="s">
        <v>549</v>
      </c>
      <c r="C23" s="24" t="s">
        <v>57</v>
      </c>
      <c r="D23" s="25" t="s">
        <v>550</v>
      </c>
      <c r="E23" s="17" t="s">
        <v>551</v>
      </c>
      <c r="F23" s="22"/>
    </row>
    <row r="24" ht="31.5" customHeight="1" spans="1:6">
      <c r="A24" s="23">
        <v>20</v>
      </c>
      <c r="B24" s="16" t="s">
        <v>552</v>
      </c>
      <c r="C24" s="24" t="s">
        <v>461</v>
      </c>
      <c r="D24" s="25" t="s">
        <v>509</v>
      </c>
      <c r="E24" s="17" t="s">
        <v>553</v>
      </c>
      <c r="F24" s="22" t="s">
        <v>554</v>
      </c>
    </row>
    <row r="25" ht="31.5" customHeight="1" spans="1:6">
      <c r="A25" s="23">
        <v>21</v>
      </c>
      <c r="B25" s="16" t="s">
        <v>555</v>
      </c>
      <c r="C25" s="24" t="s">
        <v>461</v>
      </c>
      <c r="D25" s="25" t="s">
        <v>509</v>
      </c>
      <c r="E25" s="17" t="s">
        <v>556</v>
      </c>
      <c r="F25" s="22" t="s">
        <v>554</v>
      </c>
    </row>
    <row r="26" ht="31.5" customHeight="1" spans="1:6">
      <c r="A26" s="23">
        <v>22</v>
      </c>
      <c r="B26" s="16" t="s">
        <v>557</v>
      </c>
      <c r="C26" s="24" t="s">
        <v>461</v>
      </c>
      <c r="D26" s="25" t="s">
        <v>509</v>
      </c>
      <c r="E26" s="17" t="s">
        <v>558</v>
      </c>
      <c r="F26" s="22" t="s">
        <v>554</v>
      </c>
    </row>
    <row r="27" ht="31.5" customHeight="1" spans="1:6">
      <c r="A27" s="23">
        <v>23</v>
      </c>
      <c r="B27" s="16" t="s">
        <v>267</v>
      </c>
      <c r="C27" s="24" t="s">
        <v>461</v>
      </c>
      <c r="D27" s="25" t="s">
        <v>509</v>
      </c>
      <c r="E27" s="17" t="s">
        <v>559</v>
      </c>
      <c r="F27" s="22" t="s">
        <v>554</v>
      </c>
    </row>
    <row r="28" ht="31.5" customHeight="1" spans="1:6">
      <c r="A28" s="23">
        <v>24</v>
      </c>
      <c r="B28" s="16" t="s">
        <v>560</v>
      </c>
      <c r="C28" s="24" t="s">
        <v>57</v>
      </c>
      <c r="D28" s="25" t="s">
        <v>561</v>
      </c>
      <c r="E28" s="17" t="s">
        <v>562</v>
      </c>
      <c r="F28" s="22" t="s">
        <v>563</v>
      </c>
    </row>
    <row r="29" ht="31.5" customHeight="1" spans="1:6">
      <c r="A29" s="23">
        <v>25</v>
      </c>
      <c r="B29" s="16" t="s">
        <v>564</v>
      </c>
      <c r="C29" s="24" t="s">
        <v>461</v>
      </c>
      <c r="D29" s="25" t="s">
        <v>509</v>
      </c>
      <c r="E29" s="17" t="s">
        <v>565</v>
      </c>
      <c r="F29" s="22" t="s">
        <v>538</v>
      </c>
    </row>
    <row r="30" ht="31.5" customHeight="1" spans="1:6">
      <c r="A30" s="23">
        <v>26</v>
      </c>
      <c r="B30" s="16" t="s">
        <v>566</v>
      </c>
      <c r="C30" s="24" t="s">
        <v>461</v>
      </c>
      <c r="D30" s="25" t="s">
        <v>567</v>
      </c>
      <c r="E30" s="17" t="s">
        <v>568</v>
      </c>
      <c r="F30" s="22" t="s">
        <v>554</v>
      </c>
    </row>
    <row r="31" ht="31.5" customHeight="1" spans="1:6">
      <c r="A31" s="23">
        <v>27</v>
      </c>
      <c r="B31" s="16" t="s">
        <v>49</v>
      </c>
      <c r="C31" s="24" t="s">
        <v>57</v>
      </c>
      <c r="D31" s="25" t="s">
        <v>509</v>
      </c>
      <c r="E31" s="17" t="s">
        <v>569</v>
      </c>
      <c r="F31" s="22"/>
    </row>
    <row r="32" ht="31.5" customHeight="1" spans="1:6">
      <c r="A32" s="23">
        <v>28</v>
      </c>
      <c r="B32" s="16" t="s">
        <v>245</v>
      </c>
      <c r="C32" s="24" t="s">
        <v>57</v>
      </c>
      <c r="D32" s="25" t="s">
        <v>509</v>
      </c>
      <c r="E32" s="17" t="s">
        <v>570</v>
      </c>
      <c r="F32" s="22"/>
    </row>
    <row r="33" ht="31.5" customHeight="1" spans="1:6">
      <c r="A33" s="23">
        <v>29</v>
      </c>
      <c r="B33" s="16" t="s">
        <v>409</v>
      </c>
      <c r="C33" s="24" t="s">
        <v>57</v>
      </c>
      <c r="D33" s="25" t="s">
        <v>571</v>
      </c>
      <c r="E33" s="17" t="s">
        <v>572</v>
      </c>
      <c r="F33" s="22"/>
    </row>
    <row r="34" ht="31.5" customHeight="1" spans="1:6">
      <c r="A34" s="23">
        <v>30</v>
      </c>
      <c r="B34" s="16" t="s">
        <v>573</v>
      </c>
      <c r="C34" s="25" t="s">
        <v>98</v>
      </c>
      <c r="D34" s="25" t="s">
        <v>542</v>
      </c>
      <c r="E34" s="17" t="s">
        <v>574</v>
      </c>
      <c r="F34" s="22"/>
    </row>
    <row r="35" ht="31.5" customHeight="1" spans="1:6">
      <c r="A35" s="23">
        <v>31</v>
      </c>
      <c r="B35" s="16" t="s">
        <v>442</v>
      </c>
      <c r="C35" s="24" t="s">
        <v>57</v>
      </c>
      <c r="D35" s="25" t="s">
        <v>575</v>
      </c>
      <c r="E35" s="17" t="s">
        <v>576</v>
      </c>
      <c r="F35" s="22" t="s">
        <v>577</v>
      </c>
    </row>
    <row r="36" ht="31.5" customHeight="1" spans="1:6">
      <c r="A36" s="23">
        <v>32</v>
      </c>
      <c r="B36" s="16" t="s">
        <v>578</v>
      </c>
      <c r="C36" s="24" t="s">
        <v>57</v>
      </c>
      <c r="D36" s="25" t="s">
        <v>579</v>
      </c>
      <c r="E36" s="17" t="s">
        <v>580</v>
      </c>
      <c r="F36" s="22"/>
    </row>
    <row r="37" ht="31.5" customHeight="1" spans="1:6">
      <c r="A37" s="23">
        <v>33</v>
      </c>
      <c r="B37" s="16" t="s">
        <v>322</v>
      </c>
      <c r="C37" s="24" t="s">
        <v>57</v>
      </c>
      <c r="D37" s="25" t="s">
        <v>509</v>
      </c>
      <c r="E37" s="17" t="s">
        <v>581</v>
      </c>
      <c r="F37" s="22"/>
    </row>
    <row r="38" ht="31.5" customHeight="1" spans="1:6">
      <c r="A38" s="23">
        <v>34</v>
      </c>
      <c r="B38" s="16" t="s">
        <v>582</v>
      </c>
      <c r="C38" s="24" t="s">
        <v>57</v>
      </c>
      <c r="D38" s="25" t="s">
        <v>509</v>
      </c>
      <c r="E38" s="17" t="s">
        <v>583</v>
      </c>
      <c r="F38" s="22"/>
    </row>
    <row r="39" ht="31.5" customHeight="1" spans="1:6">
      <c r="A39" s="23">
        <v>35</v>
      </c>
      <c r="B39" s="16" t="s">
        <v>584</v>
      </c>
      <c r="C39" s="24" t="s">
        <v>57</v>
      </c>
      <c r="D39" s="25" t="s">
        <v>509</v>
      </c>
      <c r="E39" s="17" t="s">
        <v>585</v>
      </c>
      <c r="F39" s="22"/>
    </row>
    <row r="40" ht="31.5" customHeight="1" spans="1:6">
      <c r="A40" s="23">
        <v>36</v>
      </c>
      <c r="B40" s="16" t="s">
        <v>586</v>
      </c>
      <c r="C40" s="24" t="s">
        <v>57</v>
      </c>
      <c r="D40" s="25" t="s">
        <v>509</v>
      </c>
      <c r="E40" s="17" t="s">
        <v>587</v>
      </c>
      <c r="F40" s="22"/>
    </row>
    <row r="41" ht="31.5" customHeight="1" spans="1:6">
      <c r="A41" s="23">
        <v>37</v>
      </c>
      <c r="B41" s="16" t="s">
        <v>331</v>
      </c>
      <c r="C41" s="24" t="s">
        <v>57</v>
      </c>
      <c r="D41" s="25" t="s">
        <v>509</v>
      </c>
      <c r="E41" s="17" t="s">
        <v>588</v>
      </c>
      <c r="F41" s="22"/>
    </row>
    <row r="42" ht="31.5" customHeight="1" spans="1:6">
      <c r="A42" s="23">
        <v>38</v>
      </c>
      <c r="B42" s="16" t="s">
        <v>333</v>
      </c>
      <c r="C42" s="24" t="s">
        <v>57</v>
      </c>
      <c r="D42" s="25" t="s">
        <v>509</v>
      </c>
      <c r="E42" s="17" t="s">
        <v>589</v>
      </c>
      <c r="F42" s="22" t="s">
        <v>590</v>
      </c>
    </row>
    <row r="43" ht="18.75" customHeight="1"/>
    <row r="44" ht="25.5" customHeight="1" spans="1:6">
      <c r="A44" s="14" t="s">
        <v>591</v>
      </c>
      <c r="B44" s="14"/>
      <c r="C44" s="14"/>
      <c r="D44" s="14"/>
      <c r="E44" s="14"/>
      <c r="F44" s="14"/>
    </row>
    <row r="45" ht="21.75" customHeight="1" spans="1:6">
      <c r="A45" s="15" t="s">
        <v>496</v>
      </c>
      <c r="B45" s="15" t="s">
        <v>39</v>
      </c>
      <c r="C45" s="15" t="s">
        <v>57</v>
      </c>
      <c r="D45" s="15" t="s">
        <v>497</v>
      </c>
      <c r="E45" s="15" t="s">
        <v>498</v>
      </c>
      <c r="F45" s="15" t="s">
        <v>499</v>
      </c>
    </row>
    <row r="46" ht="31.5" customHeight="1" spans="1:6">
      <c r="A46" s="23">
        <v>1</v>
      </c>
      <c r="B46" s="16" t="s">
        <v>592</v>
      </c>
      <c r="C46" s="24" t="s">
        <v>57</v>
      </c>
      <c r="D46" s="25" t="s">
        <v>593</v>
      </c>
      <c r="E46" s="17" t="s">
        <v>594</v>
      </c>
      <c r="F46" s="22" t="s">
        <v>595</v>
      </c>
    </row>
    <row r="47" ht="31.5" customHeight="1" spans="1:6">
      <c r="A47" s="23">
        <v>2</v>
      </c>
      <c r="B47" s="16" t="s">
        <v>230</v>
      </c>
      <c r="C47" s="24" t="s">
        <v>57</v>
      </c>
      <c r="D47" s="25" t="s">
        <v>509</v>
      </c>
      <c r="E47" s="17" t="s">
        <v>596</v>
      </c>
      <c r="F47" s="22" t="s">
        <v>597</v>
      </c>
    </row>
    <row r="48" ht="31.5" customHeight="1" spans="1:6">
      <c r="A48" s="23">
        <v>3</v>
      </c>
      <c r="B48" s="16" t="s">
        <v>442</v>
      </c>
      <c r="C48" s="24" t="s">
        <v>57</v>
      </c>
      <c r="D48" s="25" t="s">
        <v>575</v>
      </c>
      <c r="E48" s="17" t="s">
        <v>598</v>
      </c>
      <c r="F48" s="22" t="s">
        <v>599</v>
      </c>
    </row>
    <row r="49" ht="31.5" customHeight="1" spans="1:6">
      <c r="A49" s="23">
        <v>4</v>
      </c>
      <c r="B49" s="16" t="s">
        <v>42</v>
      </c>
      <c r="C49" s="24" t="s">
        <v>57</v>
      </c>
      <c r="D49" s="25" t="s">
        <v>542</v>
      </c>
      <c r="E49" s="17" t="s">
        <v>600</v>
      </c>
      <c r="F49" s="22"/>
    </row>
    <row r="50" ht="31.5" customHeight="1" spans="1:6">
      <c r="A50" s="23">
        <v>5</v>
      </c>
      <c r="B50" s="16" t="s">
        <v>601</v>
      </c>
      <c r="C50" s="24" t="s">
        <v>57</v>
      </c>
      <c r="D50" s="25" t="s">
        <v>602</v>
      </c>
      <c r="E50" s="17" t="s">
        <v>603</v>
      </c>
      <c r="F50" s="22"/>
    </row>
    <row r="51" ht="31.5" customHeight="1" spans="1:6">
      <c r="A51" s="23">
        <v>6</v>
      </c>
      <c r="B51" s="16" t="s">
        <v>604</v>
      </c>
      <c r="C51" s="24" t="s">
        <v>57</v>
      </c>
      <c r="D51" s="25" t="s">
        <v>605</v>
      </c>
      <c r="E51" s="17" t="s">
        <v>606</v>
      </c>
      <c r="F51" s="22" t="s">
        <v>607</v>
      </c>
    </row>
    <row r="52" ht="31.5" customHeight="1" spans="1:6">
      <c r="A52" s="23">
        <v>7</v>
      </c>
      <c r="B52" s="16" t="s">
        <v>608</v>
      </c>
      <c r="C52" s="24" t="s">
        <v>57</v>
      </c>
      <c r="D52" s="25" t="s">
        <v>523</v>
      </c>
      <c r="E52" s="17" t="s">
        <v>526</v>
      </c>
      <c r="F52" s="22"/>
    </row>
    <row r="53" ht="31.5" customHeight="1" spans="1:6">
      <c r="A53" s="23">
        <v>8</v>
      </c>
      <c r="B53" s="16" t="s">
        <v>609</v>
      </c>
      <c r="C53" s="24" t="s">
        <v>57</v>
      </c>
      <c r="D53" s="25" t="s">
        <v>516</v>
      </c>
      <c r="E53" s="17" t="s">
        <v>610</v>
      </c>
      <c r="F53" s="22"/>
    </row>
    <row r="54" ht="31.5" customHeight="1" spans="1:6">
      <c r="A54" s="23">
        <v>9</v>
      </c>
      <c r="B54" s="16" t="s">
        <v>357</v>
      </c>
      <c r="C54" s="25" t="s">
        <v>98</v>
      </c>
      <c r="D54" s="25" t="s">
        <v>516</v>
      </c>
      <c r="E54" s="17" t="s">
        <v>611</v>
      </c>
      <c r="F54" s="22"/>
    </row>
    <row r="55" ht="31.5" customHeight="1" spans="1:6">
      <c r="A55" s="23">
        <v>10</v>
      </c>
      <c r="B55" s="16" t="s">
        <v>416</v>
      </c>
      <c r="C55" s="25" t="s">
        <v>98</v>
      </c>
      <c r="D55" s="25" t="s">
        <v>529</v>
      </c>
      <c r="E55" s="17" t="s">
        <v>612</v>
      </c>
      <c r="F55" s="22"/>
    </row>
    <row r="56" ht="31.5" customHeight="1" spans="1:6">
      <c r="A56" s="23">
        <v>11</v>
      </c>
      <c r="B56" s="16" t="s">
        <v>335</v>
      </c>
      <c r="C56" s="24" t="s">
        <v>57</v>
      </c>
      <c r="D56" s="25" t="s">
        <v>509</v>
      </c>
      <c r="E56" s="17" t="s">
        <v>613</v>
      </c>
      <c r="F56" s="22" t="s">
        <v>614</v>
      </c>
    </row>
    <row r="57" ht="31.5" customHeight="1" spans="1:6">
      <c r="A57" s="23">
        <v>12</v>
      </c>
      <c r="B57" s="16" t="s">
        <v>615</v>
      </c>
      <c r="C57" s="24" t="s">
        <v>57</v>
      </c>
      <c r="D57" s="25" t="s">
        <v>616</v>
      </c>
      <c r="E57" s="17" t="s">
        <v>617</v>
      </c>
      <c r="F57" s="22"/>
    </row>
    <row r="58" ht="31.5" customHeight="1" spans="1:6">
      <c r="A58" s="23">
        <v>13</v>
      </c>
      <c r="B58" s="16" t="s">
        <v>618</v>
      </c>
      <c r="C58" s="24" t="s">
        <v>57</v>
      </c>
      <c r="D58" s="25" t="s">
        <v>579</v>
      </c>
      <c r="E58" s="17" t="s">
        <v>619</v>
      </c>
      <c r="F58" s="22"/>
    </row>
    <row r="59" ht="31.5" customHeight="1" spans="1:6">
      <c r="A59" s="23">
        <v>14</v>
      </c>
      <c r="B59" s="16" t="s">
        <v>620</v>
      </c>
      <c r="C59" s="24" t="s">
        <v>57</v>
      </c>
      <c r="D59" s="25" t="s">
        <v>621</v>
      </c>
      <c r="E59" s="17" t="s">
        <v>622</v>
      </c>
      <c r="F59" s="22"/>
    </row>
    <row r="60" ht="31.5" customHeight="1" spans="1:6">
      <c r="A60" s="23">
        <v>15</v>
      </c>
      <c r="B60" s="16" t="s">
        <v>623</v>
      </c>
      <c r="C60" s="24" t="s">
        <v>57</v>
      </c>
      <c r="D60" s="25" t="s">
        <v>579</v>
      </c>
      <c r="E60" s="17" t="s">
        <v>624</v>
      </c>
      <c r="F60" s="22"/>
    </row>
    <row r="61" ht="31.5" customHeight="1" spans="1:6">
      <c r="A61" s="23">
        <v>16</v>
      </c>
      <c r="B61" s="16" t="s">
        <v>448</v>
      </c>
      <c r="C61" s="24" t="s">
        <v>57</v>
      </c>
      <c r="D61" s="25" t="s">
        <v>509</v>
      </c>
      <c r="E61" s="17" t="s">
        <v>625</v>
      </c>
      <c r="F61" s="22" t="s">
        <v>626</v>
      </c>
    </row>
    <row r="62" ht="31.5" customHeight="1" spans="1:6">
      <c r="A62" s="23">
        <v>17</v>
      </c>
      <c r="B62" s="16" t="s">
        <v>627</v>
      </c>
      <c r="C62" s="24" t="s">
        <v>57</v>
      </c>
      <c r="D62" s="25" t="s">
        <v>509</v>
      </c>
      <c r="E62" s="17" t="s">
        <v>628</v>
      </c>
      <c r="F62" s="22"/>
    </row>
    <row r="63" ht="31.5" customHeight="1" spans="1:6">
      <c r="A63" s="23">
        <v>18</v>
      </c>
      <c r="B63" s="16" t="s">
        <v>629</v>
      </c>
      <c r="C63" s="24" t="s">
        <v>57</v>
      </c>
      <c r="D63" s="25" t="s">
        <v>630</v>
      </c>
      <c r="E63" s="17" t="s">
        <v>631</v>
      </c>
      <c r="F63" s="22" t="s">
        <v>632</v>
      </c>
    </row>
    <row r="64" ht="31.5" customHeight="1" spans="1:6">
      <c r="A64" s="23">
        <v>19</v>
      </c>
      <c r="B64" s="16" t="s">
        <v>633</v>
      </c>
      <c r="C64" s="25" t="s">
        <v>98</v>
      </c>
      <c r="D64" s="25" t="s">
        <v>542</v>
      </c>
      <c r="E64" s="17" t="s">
        <v>573</v>
      </c>
      <c r="F64" s="22"/>
    </row>
    <row r="65" ht="31.5" customHeight="1" spans="1:6">
      <c r="A65" s="23">
        <v>20</v>
      </c>
      <c r="B65" s="16" t="s">
        <v>634</v>
      </c>
      <c r="C65" s="24" t="s">
        <v>57</v>
      </c>
      <c r="D65" s="25" t="s">
        <v>509</v>
      </c>
      <c r="E65" s="17" t="s">
        <v>635</v>
      </c>
      <c r="F65" s="22" t="s">
        <v>636</v>
      </c>
    </row>
    <row r="66" ht="31.5" customHeight="1" spans="1:6">
      <c r="A66" s="23">
        <v>21</v>
      </c>
      <c r="B66" s="16" t="s">
        <v>460</v>
      </c>
      <c r="C66" s="25" t="s">
        <v>98</v>
      </c>
      <c r="D66" s="25" t="s">
        <v>637</v>
      </c>
      <c r="E66" s="17" t="s">
        <v>638</v>
      </c>
      <c r="F66" s="22"/>
    </row>
    <row r="67" ht="31.5" customHeight="1" spans="1:6">
      <c r="A67" s="23">
        <v>22</v>
      </c>
      <c r="B67" s="16" t="s">
        <v>639</v>
      </c>
      <c r="C67" s="24" t="s">
        <v>57</v>
      </c>
      <c r="D67" s="25" t="s">
        <v>640</v>
      </c>
      <c r="E67" s="17" t="s">
        <v>641</v>
      </c>
      <c r="F67" s="22"/>
    </row>
    <row r="68" ht="31.5" customHeight="1" spans="1:6">
      <c r="A68" s="23">
        <v>23</v>
      </c>
      <c r="B68" s="16" t="s">
        <v>642</v>
      </c>
      <c r="C68" s="24" t="s">
        <v>57</v>
      </c>
      <c r="D68" s="25" t="s">
        <v>643</v>
      </c>
      <c r="E68" s="17" t="s">
        <v>644</v>
      </c>
      <c r="F68" s="22"/>
    </row>
    <row r="69" ht="18.75" customHeight="1"/>
    <row r="70" ht="25.5" customHeight="1" spans="1:6">
      <c r="A70" s="14" t="s">
        <v>645</v>
      </c>
      <c r="B70" s="14"/>
      <c r="C70" s="14"/>
      <c r="D70" s="14"/>
      <c r="E70" s="14"/>
      <c r="F70" s="14"/>
    </row>
    <row r="71" ht="21.75" customHeight="1" spans="1:6">
      <c r="A71" s="15" t="s">
        <v>496</v>
      </c>
      <c r="B71" s="15" t="s">
        <v>39</v>
      </c>
      <c r="C71" s="15" t="s">
        <v>57</v>
      </c>
      <c r="D71" s="15" t="s">
        <v>497</v>
      </c>
      <c r="E71" s="15" t="s">
        <v>498</v>
      </c>
      <c r="F71" s="15" t="s">
        <v>499</v>
      </c>
    </row>
    <row r="72" ht="31.5" customHeight="1" spans="1:6">
      <c r="A72" s="23">
        <v>1</v>
      </c>
      <c r="B72" s="16" t="s">
        <v>646</v>
      </c>
      <c r="C72" s="24" t="s">
        <v>57</v>
      </c>
      <c r="D72" s="25" t="s">
        <v>647</v>
      </c>
      <c r="E72" s="17" t="s">
        <v>648</v>
      </c>
      <c r="F72" s="22" t="s">
        <v>649</v>
      </c>
    </row>
    <row r="73" ht="31.5" customHeight="1" spans="1:6">
      <c r="A73" s="23">
        <v>2</v>
      </c>
      <c r="B73" s="16" t="s">
        <v>650</v>
      </c>
      <c r="C73" s="24" t="s">
        <v>57</v>
      </c>
      <c r="D73" s="25" t="s">
        <v>651</v>
      </c>
      <c r="E73" s="17" t="s">
        <v>652</v>
      </c>
      <c r="F73" s="22"/>
    </row>
    <row r="74" ht="31.5" customHeight="1" spans="1:6">
      <c r="A74" s="23">
        <v>3</v>
      </c>
      <c r="B74" s="16" t="s">
        <v>653</v>
      </c>
      <c r="C74" s="24" t="s">
        <v>57</v>
      </c>
      <c r="D74" s="25" t="s">
        <v>501</v>
      </c>
      <c r="E74" s="17" t="s">
        <v>654</v>
      </c>
      <c r="F74" s="22" t="s">
        <v>655</v>
      </c>
    </row>
    <row r="75" ht="31.5" customHeight="1" spans="1:6">
      <c r="A75" s="23">
        <v>4</v>
      </c>
      <c r="B75" s="16" t="s">
        <v>656</v>
      </c>
      <c r="C75" s="24" t="s">
        <v>57</v>
      </c>
      <c r="D75" s="25" t="s">
        <v>542</v>
      </c>
      <c r="E75" s="17" t="s">
        <v>657</v>
      </c>
      <c r="F75" s="22" t="s">
        <v>658</v>
      </c>
    </row>
    <row r="76" ht="31.5" customHeight="1" spans="1:6">
      <c r="A76" s="23">
        <v>5</v>
      </c>
      <c r="B76" s="16" t="s">
        <v>659</v>
      </c>
      <c r="C76" s="24" t="s">
        <v>57</v>
      </c>
      <c r="D76" s="25" t="s">
        <v>516</v>
      </c>
      <c r="E76" s="17" t="s">
        <v>660</v>
      </c>
      <c r="F76" s="22" t="s">
        <v>661</v>
      </c>
    </row>
    <row r="77" ht="31.5" customHeight="1" spans="1:6">
      <c r="A77" s="23">
        <v>6</v>
      </c>
      <c r="B77" s="16" t="s">
        <v>662</v>
      </c>
      <c r="C77" s="24" t="s">
        <v>57</v>
      </c>
      <c r="D77" s="25" t="s">
        <v>647</v>
      </c>
      <c r="E77" s="17" t="s">
        <v>663</v>
      </c>
      <c r="F77" s="22"/>
    </row>
    <row r="78" ht="31.5" customHeight="1" spans="1:6">
      <c r="A78" s="23">
        <v>7</v>
      </c>
      <c r="B78" s="16" t="s">
        <v>664</v>
      </c>
      <c r="C78" s="24" t="s">
        <v>57</v>
      </c>
      <c r="D78" s="25" t="s">
        <v>523</v>
      </c>
      <c r="E78" s="17" t="s">
        <v>665</v>
      </c>
      <c r="F78" s="22"/>
    </row>
    <row r="79" ht="31.5" customHeight="1" spans="1:6">
      <c r="A79" s="23">
        <v>8</v>
      </c>
      <c r="B79" s="16" t="s">
        <v>416</v>
      </c>
      <c r="C79" s="25" t="s">
        <v>98</v>
      </c>
      <c r="D79" s="25" t="s">
        <v>529</v>
      </c>
      <c r="E79" s="17" t="s">
        <v>666</v>
      </c>
      <c r="F79" s="22"/>
    </row>
    <row r="80" ht="31.5" customHeight="1" spans="1:6">
      <c r="A80" s="23">
        <v>9</v>
      </c>
      <c r="B80" s="16" t="s">
        <v>318</v>
      </c>
      <c r="C80" s="24" t="s">
        <v>57</v>
      </c>
      <c r="D80" s="25" t="s">
        <v>579</v>
      </c>
      <c r="E80" s="17" t="s">
        <v>667</v>
      </c>
      <c r="F80" s="22"/>
    </row>
    <row r="81" ht="31.5" customHeight="1" spans="1:6">
      <c r="A81" s="23">
        <v>10</v>
      </c>
      <c r="B81" s="16" t="s">
        <v>668</v>
      </c>
      <c r="C81" s="24" t="s">
        <v>57</v>
      </c>
      <c r="D81" s="25" t="s">
        <v>669</v>
      </c>
      <c r="E81" s="17" t="s">
        <v>670</v>
      </c>
      <c r="F81" s="22"/>
    </row>
    <row r="82" ht="31.5" customHeight="1" spans="1:6">
      <c r="A82" s="23">
        <v>11</v>
      </c>
      <c r="B82" s="16" t="s">
        <v>448</v>
      </c>
      <c r="C82" s="24" t="s">
        <v>57</v>
      </c>
      <c r="D82" s="25" t="s">
        <v>509</v>
      </c>
      <c r="E82" s="17" t="s">
        <v>671</v>
      </c>
      <c r="F82" s="22"/>
    </row>
    <row r="83" ht="31.5" customHeight="1" spans="1:6">
      <c r="A83" s="23">
        <v>12</v>
      </c>
      <c r="B83" s="16" t="s">
        <v>451</v>
      </c>
      <c r="C83" s="24" t="s">
        <v>57</v>
      </c>
      <c r="D83" s="25" t="s">
        <v>509</v>
      </c>
      <c r="E83" s="17" t="s">
        <v>672</v>
      </c>
      <c r="F83" s="22"/>
    </row>
    <row r="84" ht="31.5" customHeight="1" spans="1:6">
      <c r="A84" s="23">
        <v>13</v>
      </c>
      <c r="B84" s="16" t="s">
        <v>673</v>
      </c>
      <c r="C84" s="24" t="s">
        <v>57</v>
      </c>
      <c r="D84" s="25" t="s">
        <v>542</v>
      </c>
      <c r="E84" s="17" t="s">
        <v>674</v>
      </c>
      <c r="F84" s="22"/>
    </row>
    <row r="85" ht="31.5" customHeight="1" spans="1:6">
      <c r="A85" s="23">
        <v>14</v>
      </c>
      <c r="B85" s="16" t="s">
        <v>329</v>
      </c>
      <c r="C85" s="24" t="s">
        <v>57</v>
      </c>
      <c r="D85" s="25" t="s">
        <v>509</v>
      </c>
      <c r="E85" s="17" t="s">
        <v>675</v>
      </c>
      <c r="F85" s="22"/>
    </row>
    <row r="86" ht="31.5" customHeight="1" spans="1:6">
      <c r="A86" s="23">
        <v>15</v>
      </c>
      <c r="B86" s="16" t="s">
        <v>339</v>
      </c>
      <c r="C86" s="24" t="s">
        <v>57</v>
      </c>
      <c r="D86" s="25" t="s">
        <v>640</v>
      </c>
      <c r="E86" s="17" t="s">
        <v>676</v>
      </c>
      <c r="F86" s="22"/>
    </row>
    <row r="87" ht="31.5" customHeight="1" spans="1:6">
      <c r="A87" s="23">
        <v>16</v>
      </c>
      <c r="B87" s="16" t="s">
        <v>677</v>
      </c>
      <c r="C87" s="25" t="s">
        <v>98</v>
      </c>
      <c r="D87" s="25" t="s">
        <v>542</v>
      </c>
      <c r="E87" s="17" t="s">
        <v>678</v>
      </c>
      <c r="F87" s="22" t="s">
        <v>679</v>
      </c>
    </row>
    <row r="88" ht="31.5" customHeight="1" spans="1:6">
      <c r="A88" s="23">
        <v>17</v>
      </c>
      <c r="B88" s="16" t="s">
        <v>460</v>
      </c>
      <c r="C88" s="25" t="s">
        <v>98</v>
      </c>
      <c r="D88" s="25" t="s">
        <v>637</v>
      </c>
      <c r="E88" s="17" t="s">
        <v>680</v>
      </c>
      <c r="F88" s="22"/>
    </row>
    <row r="89" ht="18.75" customHeight="1"/>
    <row r="90" ht="25.5" customHeight="1" spans="1:6">
      <c r="A90" s="14" t="s">
        <v>681</v>
      </c>
      <c r="B90" s="14"/>
      <c r="C90" s="14"/>
      <c r="D90" s="14"/>
      <c r="E90" s="14"/>
      <c r="F90" s="14"/>
    </row>
    <row r="91" ht="21.75" customHeight="1" spans="1:6">
      <c r="A91" s="15" t="s">
        <v>496</v>
      </c>
      <c r="B91" s="15" t="s">
        <v>39</v>
      </c>
      <c r="C91" s="15" t="s">
        <v>57</v>
      </c>
      <c r="D91" s="15" t="s">
        <v>497</v>
      </c>
      <c r="E91" s="15" t="s">
        <v>498</v>
      </c>
      <c r="F91" s="15" t="s">
        <v>499</v>
      </c>
    </row>
    <row r="92" ht="31.5" customHeight="1" spans="1:6">
      <c r="A92" s="23">
        <v>1</v>
      </c>
      <c r="B92" s="16" t="s">
        <v>682</v>
      </c>
      <c r="C92" s="24" t="s">
        <v>57</v>
      </c>
      <c r="D92" s="25" t="s">
        <v>683</v>
      </c>
      <c r="E92" s="17" t="s">
        <v>684</v>
      </c>
      <c r="F92" s="22" t="s">
        <v>685</v>
      </c>
    </row>
    <row r="93" ht="31.5" customHeight="1" spans="1:6">
      <c r="A93" s="23">
        <v>2</v>
      </c>
      <c r="B93" s="16" t="s">
        <v>686</v>
      </c>
      <c r="C93" s="24" t="s">
        <v>57</v>
      </c>
      <c r="D93" s="25" t="s">
        <v>647</v>
      </c>
      <c r="E93" s="17" t="s">
        <v>687</v>
      </c>
      <c r="F93" s="22" t="s">
        <v>688</v>
      </c>
    </row>
    <row r="94" ht="31.5" customHeight="1" spans="1:6">
      <c r="A94" s="23">
        <v>3</v>
      </c>
      <c r="B94" s="16" t="s">
        <v>689</v>
      </c>
      <c r="C94" s="26" t="s">
        <v>690</v>
      </c>
      <c r="D94" s="25" t="s">
        <v>501</v>
      </c>
      <c r="E94" s="17" t="s">
        <v>691</v>
      </c>
      <c r="F94" s="22" t="s">
        <v>692</v>
      </c>
    </row>
    <row r="95" ht="31.5" customHeight="1" spans="1:6">
      <c r="A95" s="23">
        <v>4</v>
      </c>
      <c r="B95" s="16" t="s">
        <v>693</v>
      </c>
      <c r="C95" s="24" t="s">
        <v>57</v>
      </c>
      <c r="D95" s="25" t="s">
        <v>542</v>
      </c>
      <c r="E95" s="17" t="s">
        <v>694</v>
      </c>
      <c r="F95" s="22"/>
    </row>
    <row r="96" ht="31.5" customHeight="1" spans="1:6">
      <c r="A96" s="23">
        <v>5</v>
      </c>
      <c r="B96" s="16" t="s">
        <v>695</v>
      </c>
      <c r="C96" s="24" t="s">
        <v>57</v>
      </c>
      <c r="D96" s="25" t="s">
        <v>523</v>
      </c>
      <c r="E96" s="17"/>
      <c r="F96" s="22"/>
    </row>
    <row r="97" ht="31.5" customHeight="1" spans="1:6">
      <c r="A97" s="23">
        <v>6</v>
      </c>
      <c r="B97" s="16" t="s">
        <v>696</v>
      </c>
      <c r="C97" s="24" t="s">
        <v>57</v>
      </c>
      <c r="D97" s="25" t="s">
        <v>516</v>
      </c>
      <c r="E97" s="17" t="s">
        <v>697</v>
      </c>
      <c r="F97" s="22" t="s">
        <v>698</v>
      </c>
    </row>
    <row r="98" ht="31.5" customHeight="1" spans="1:6">
      <c r="A98" s="23">
        <v>7</v>
      </c>
      <c r="B98" s="16" t="s">
        <v>699</v>
      </c>
      <c r="C98" s="24" t="s">
        <v>57</v>
      </c>
      <c r="D98" s="25" t="s">
        <v>700</v>
      </c>
      <c r="E98" s="17" t="s">
        <v>701</v>
      </c>
      <c r="F98" s="22"/>
    </row>
    <row r="99" ht="31.5" customHeight="1" spans="1:6">
      <c r="A99" s="23">
        <v>8</v>
      </c>
      <c r="B99" s="16" t="s">
        <v>629</v>
      </c>
      <c r="C99" s="24" t="s">
        <v>57</v>
      </c>
      <c r="D99" s="25" t="s">
        <v>542</v>
      </c>
      <c r="E99" s="17" t="s">
        <v>702</v>
      </c>
      <c r="F99" s="22"/>
    </row>
    <row r="100" ht="31.5" customHeight="1" spans="1:6">
      <c r="A100" s="23">
        <v>9</v>
      </c>
      <c r="B100" s="16" t="s">
        <v>442</v>
      </c>
      <c r="C100" s="24" t="s">
        <v>57</v>
      </c>
      <c r="D100" s="25" t="s">
        <v>575</v>
      </c>
      <c r="E100" s="17" t="s">
        <v>703</v>
      </c>
      <c r="F100" s="22"/>
    </row>
    <row r="101" ht="31.5" customHeight="1" spans="1:6">
      <c r="A101" s="23">
        <v>10</v>
      </c>
      <c r="B101" s="16" t="s">
        <v>704</v>
      </c>
      <c r="C101" s="25" t="s">
        <v>98</v>
      </c>
      <c r="D101" s="25" t="s">
        <v>529</v>
      </c>
      <c r="E101" s="17"/>
      <c r="F101" s="22"/>
    </row>
    <row r="102" ht="31.5" customHeight="1" spans="1:6">
      <c r="A102" s="23">
        <v>11</v>
      </c>
      <c r="B102" s="16" t="s">
        <v>705</v>
      </c>
      <c r="C102" s="24" t="s">
        <v>57</v>
      </c>
      <c r="D102" s="25" t="s">
        <v>542</v>
      </c>
      <c r="E102" s="17" t="s">
        <v>706</v>
      </c>
      <c r="F102" s="22" t="s">
        <v>707</v>
      </c>
    </row>
    <row r="103" ht="31.5" customHeight="1" spans="1:6">
      <c r="A103" s="23">
        <v>12</v>
      </c>
      <c r="B103" s="16" t="s">
        <v>708</v>
      </c>
      <c r="C103" s="25" t="s">
        <v>98</v>
      </c>
      <c r="D103" s="25" t="s">
        <v>542</v>
      </c>
      <c r="E103" s="17" t="s">
        <v>709</v>
      </c>
      <c r="F103" s="22"/>
    </row>
    <row r="104" ht="31.5" customHeight="1" spans="1:6">
      <c r="A104" s="23">
        <v>13</v>
      </c>
      <c r="B104" s="16" t="s">
        <v>710</v>
      </c>
      <c r="C104" s="24" t="s">
        <v>57</v>
      </c>
      <c r="D104" s="25" t="s">
        <v>516</v>
      </c>
      <c r="E104" s="17" t="s">
        <v>711</v>
      </c>
      <c r="F104" s="22"/>
    </row>
    <row r="105" ht="31.5" customHeight="1" spans="1:6">
      <c r="A105" s="23">
        <v>14</v>
      </c>
      <c r="B105" s="16" t="s">
        <v>375</v>
      </c>
      <c r="C105" s="25" t="s">
        <v>98</v>
      </c>
      <c r="D105" s="25" t="s">
        <v>540</v>
      </c>
      <c r="E105" s="17" t="s">
        <v>712</v>
      </c>
      <c r="F105" s="22"/>
    </row>
    <row r="106" ht="31.5" customHeight="1" spans="1:6">
      <c r="A106" s="23">
        <v>15</v>
      </c>
      <c r="B106" s="16" t="s">
        <v>378</v>
      </c>
      <c r="C106" s="24" t="s">
        <v>57</v>
      </c>
      <c r="D106" s="25" t="s">
        <v>713</v>
      </c>
      <c r="E106" s="17" t="s">
        <v>714</v>
      </c>
      <c r="F106" s="22" t="s">
        <v>715</v>
      </c>
    </row>
    <row r="107" ht="31.5" customHeight="1" spans="1:6">
      <c r="A107" s="23">
        <v>16</v>
      </c>
      <c r="B107" s="16" t="s">
        <v>716</v>
      </c>
      <c r="C107" s="24" t="s">
        <v>57</v>
      </c>
      <c r="D107" s="25" t="s">
        <v>717</v>
      </c>
      <c r="E107" s="17" t="s">
        <v>718</v>
      </c>
      <c r="F107" s="22"/>
    </row>
    <row r="108" ht="31.5" customHeight="1" spans="1:6">
      <c r="A108" s="23">
        <v>17</v>
      </c>
      <c r="B108" s="16" t="s">
        <v>719</v>
      </c>
      <c r="C108" s="25" t="s">
        <v>98</v>
      </c>
      <c r="D108" s="25" t="s">
        <v>720</v>
      </c>
      <c r="E108" s="17" t="s">
        <v>721</v>
      </c>
      <c r="F108" s="22"/>
    </row>
    <row r="109" ht="18.75" customHeight="1"/>
    <row r="110" ht="25.5" customHeight="1" spans="1:6">
      <c r="A110" s="14" t="s">
        <v>722</v>
      </c>
      <c r="B110" s="14"/>
      <c r="C110" s="14"/>
      <c r="D110" s="14"/>
      <c r="E110" s="14"/>
      <c r="F110" s="14"/>
    </row>
    <row r="111" ht="21.75" customHeight="1" spans="1:6">
      <c r="A111" s="15" t="s">
        <v>496</v>
      </c>
      <c r="B111" s="15" t="s">
        <v>39</v>
      </c>
      <c r="C111" s="15" t="s">
        <v>57</v>
      </c>
      <c r="D111" s="15" t="s">
        <v>497</v>
      </c>
      <c r="E111" s="15" t="s">
        <v>498</v>
      </c>
      <c r="F111" s="15" t="s">
        <v>499</v>
      </c>
    </row>
    <row r="112" ht="31.5" customHeight="1" spans="1:6">
      <c r="A112" s="23">
        <v>1</v>
      </c>
      <c r="B112" s="16" t="s">
        <v>723</v>
      </c>
      <c r="C112" s="24" t="s">
        <v>57</v>
      </c>
      <c r="D112" s="25" t="s">
        <v>724</v>
      </c>
      <c r="E112" s="17" t="s">
        <v>725</v>
      </c>
      <c r="F112" s="22" t="s">
        <v>726</v>
      </c>
    </row>
    <row r="113" ht="31.5" customHeight="1" spans="1:6">
      <c r="A113" s="23">
        <v>2</v>
      </c>
      <c r="B113" s="16" t="s">
        <v>727</v>
      </c>
      <c r="C113" s="24" t="s">
        <v>57</v>
      </c>
      <c r="D113" s="25" t="s">
        <v>683</v>
      </c>
      <c r="E113" s="17" t="s">
        <v>728</v>
      </c>
      <c r="F113" s="22" t="s">
        <v>729</v>
      </c>
    </row>
    <row r="114" ht="31.5" customHeight="1" spans="1:6">
      <c r="A114" s="23">
        <v>3</v>
      </c>
      <c r="B114" s="16" t="s">
        <v>730</v>
      </c>
      <c r="C114" s="24" t="s">
        <v>57</v>
      </c>
      <c r="D114" s="25" t="s">
        <v>501</v>
      </c>
      <c r="E114" s="17" t="s">
        <v>731</v>
      </c>
      <c r="F114" s="22" t="s">
        <v>732</v>
      </c>
    </row>
    <row r="115" ht="31.5" customHeight="1" spans="1:6">
      <c r="A115" s="23">
        <v>4</v>
      </c>
      <c r="B115" s="16" t="s">
        <v>733</v>
      </c>
      <c r="C115" s="24" t="s">
        <v>57</v>
      </c>
      <c r="D115" s="25" t="s">
        <v>542</v>
      </c>
      <c r="E115" s="17" t="s">
        <v>734</v>
      </c>
      <c r="F115" s="22" t="s">
        <v>735</v>
      </c>
    </row>
    <row r="116" ht="31.5" customHeight="1" spans="1:6">
      <c r="A116" s="23">
        <v>5</v>
      </c>
      <c r="B116" s="16" t="s">
        <v>736</v>
      </c>
      <c r="C116" s="24" t="s">
        <v>57</v>
      </c>
      <c r="D116" s="25" t="s">
        <v>542</v>
      </c>
      <c r="E116" s="17" t="s">
        <v>737</v>
      </c>
      <c r="F116" s="22"/>
    </row>
    <row r="117" ht="31.5" customHeight="1" spans="1:6">
      <c r="A117" s="23">
        <v>6</v>
      </c>
      <c r="B117" s="16" t="s">
        <v>516</v>
      </c>
      <c r="C117" s="24" t="s">
        <v>57</v>
      </c>
      <c r="D117" s="25" t="s">
        <v>516</v>
      </c>
      <c r="E117" s="17" t="s">
        <v>738</v>
      </c>
      <c r="F117" s="22"/>
    </row>
    <row r="118" ht="31.5" customHeight="1" spans="1:6">
      <c r="A118" s="23">
        <v>7</v>
      </c>
      <c r="B118" s="16" t="s">
        <v>520</v>
      </c>
      <c r="C118" s="25" t="s">
        <v>98</v>
      </c>
      <c r="D118" s="25" t="s">
        <v>520</v>
      </c>
      <c r="E118" s="17" t="s">
        <v>739</v>
      </c>
      <c r="F118" s="22"/>
    </row>
    <row r="119" ht="31.5" customHeight="1" spans="1:6">
      <c r="A119" s="23">
        <v>8</v>
      </c>
      <c r="B119" s="16" t="s">
        <v>411</v>
      </c>
      <c r="C119" s="24" t="s">
        <v>57</v>
      </c>
      <c r="D119" s="25" t="s">
        <v>523</v>
      </c>
      <c r="E119" s="17" t="s">
        <v>740</v>
      </c>
      <c r="F119" s="22"/>
    </row>
    <row r="120" ht="31.5" customHeight="1" spans="1:6">
      <c r="A120" s="23">
        <v>9</v>
      </c>
      <c r="B120" s="16" t="s">
        <v>524</v>
      </c>
      <c r="C120" s="25" t="s">
        <v>98</v>
      </c>
      <c r="D120" s="25" t="s">
        <v>523</v>
      </c>
      <c r="E120" s="17" t="s">
        <v>741</v>
      </c>
      <c r="F120" s="22"/>
    </row>
    <row r="121" ht="31.5" customHeight="1" spans="1:6">
      <c r="A121" s="23">
        <v>10</v>
      </c>
      <c r="B121" s="16" t="s">
        <v>742</v>
      </c>
      <c r="C121" s="24" t="s">
        <v>57</v>
      </c>
      <c r="D121" s="25" t="s">
        <v>529</v>
      </c>
      <c r="E121" s="17" t="s">
        <v>743</v>
      </c>
      <c r="F121" s="22"/>
    </row>
    <row r="122" ht="31.5" customHeight="1" spans="1:6">
      <c r="A122" s="23">
        <v>11</v>
      </c>
      <c r="B122" s="16" t="s">
        <v>744</v>
      </c>
      <c r="C122" s="24" t="s">
        <v>57</v>
      </c>
      <c r="D122" s="25" t="s">
        <v>509</v>
      </c>
      <c r="E122" s="17" t="s">
        <v>745</v>
      </c>
      <c r="F122" s="22" t="s">
        <v>746</v>
      </c>
    </row>
    <row r="123" ht="31.5" customHeight="1" spans="1:6">
      <c r="A123" s="23">
        <v>12</v>
      </c>
      <c r="B123" s="16" t="s">
        <v>747</v>
      </c>
      <c r="C123" s="24" t="s">
        <v>57</v>
      </c>
      <c r="D123" s="25" t="s">
        <v>748</v>
      </c>
      <c r="E123" s="17" t="s">
        <v>749</v>
      </c>
      <c r="F123" s="22" t="s">
        <v>750</v>
      </c>
    </row>
    <row r="124" ht="31.5" customHeight="1" spans="1:6">
      <c r="A124" s="23">
        <v>13</v>
      </c>
      <c r="B124" s="16" t="s">
        <v>471</v>
      </c>
      <c r="C124" s="24" t="s">
        <v>57</v>
      </c>
      <c r="D124" s="25" t="s">
        <v>509</v>
      </c>
      <c r="E124" s="17" t="s">
        <v>751</v>
      </c>
      <c r="F124" s="22" t="s">
        <v>752</v>
      </c>
    </row>
    <row r="125" ht="31.5" customHeight="1" spans="1:6">
      <c r="A125" s="23">
        <v>14</v>
      </c>
      <c r="B125" s="16" t="s">
        <v>753</v>
      </c>
      <c r="C125" s="25" t="s">
        <v>98</v>
      </c>
      <c r="D125" s="25" t="s">
        <v>540</v>
      </c>
      <c r="E125" s="17" t="s">
        <v>754</v>
      </c>
      <c r="F125" s="22" t="s">
        <v>755</v>
      </c>
    </row>
    <row r="126" ht="31.5" customHeight="1" spans="1:6">
      <c r="A126" s="23">
        <v>15</v>
      </c>
      <c r="B126" s="16" t="s">
        <v>756</v>
      </c>
      <c r="C126" s="25" t="s">
        <v>98</v>
      </c>
      <c r="D126" s="25" t="s">
        <v>713</v>
      </c>
      <c r="E126" s="17" t="s">
        <v>757</v>
      </c>
      <c r="F126" s="22" t="s">
        <v>758</v>
      </c>
    </row>
    <row r="127" ht="31.5" customHeight="1" spans="1:6">
      <c r="A127" s="23">
        <v>16</v>
      </c>
      <c r="B127" s="16" t="s">
        <v>759</v>
      </c>
      <c r="C127" s="25" t="s">
        <v>98</v>
      </c>
      <c r="D127" s="25" t="s">
        <v>760</v>
      </c>
      <c r="E127" s="17" t="s">
        <v>761</v>
      </c>
      <c r="F127" s="22"/>
    </row>
    <row r="128" ht="18.75" customHeight="1"/>
    <row r="129" ht="25.5" customHeight="1" spans="1:6">
      <c r="A129" s="14" t="s">
        <v>762</v>
      </c>
      <c r="B129" s="14"/>
      <c r="C129" s="14"/>
      <c r="D129" s="14"/>
      <c r="E129" s="14"/>
      <c r="F129" s="14"/>
    </row>
    <row r="130" ht="21.75" customHeight="1" spans="1:6">
      <c r="A130" s="15" t="s">
        <v>496</v>
      </c>
      <c r="B130" s="15" t="s">
        <v>39</v>
      </c>
      <c r="C130" s="15" t="s">
        <v>57</v>
      </c>
      <c r="D130" s="15" t="s">
        <v>497</v>
      </c>
      <c r="E130" s="15" t="s">
        <v>498</v>
      </c>
      <c r="F130" s="15" t="s">
        <v>499</v>
      </c>
    </row>
    <row r="131" ht="31.5" customHeight="1" spans="1:6">
      <c r="A131" s="23">
        <v>1</v>
      </c>
      <c r="B131" s="16" t="s">
        <v>763</v>
      </c>
      <c r="C131" s="24" t="s">
        <v>57</v>
      </c>
      <c r="D131" s="25" t="s">
        <v>509</v>
      </c>
      <c r="E131" s="17" t="s">
        <v>764</v>
      </c>
      <c r="F131" s="22"/>
    </row>
    <row r="132" ht="31.5" customHeight="1" spans="1:6">
      <c r="A132" s="23">
        <v>2</v>
      </c>
      <c r="B132" s="16" t="s">
        <v>730</v>
      </c>
      <c r="C132" s="24" t="s">
        <v>57</v>
      </c>
      <c r="D132" s="25" t="s">
        <v>501</v>
      </c>
      <c r="E132" s="17" t="s">
        <v>765</v>
      </c>
      <c r="F132" s="22" t="s">
        <v>766</v>
      </c>
    </row>
    <row r="133" ht="31.5" customHeight="1" spans="1:6">
      <c r="A133" s="23">
        <v>3</v>
      </c>
      <c r="B133" s="16" t="s">
        <v>767</v>
      </c>
      <c r="C133" s="24" t="s">
        <v>57</v>
      </c>
      <c r="D133" s="25" t="s">
        <v>651</v>
      </c>
      <c r="E133" s="17" t="s">
        <v>768</v>
      </c>
      <c r="F133" s="22" t="s">
        <v>769</v>
      </c>
    </row>
    <row r="134" ht="31.5" customHeight="1" spans="1:6">
      <c r="A134" s="23">
        <v>4</v>
      </c>
      <c r="B134" s="16" t="s">
        <v>770</v>
      </c>
      <c r="C134" s="24" t="s">
        <v>57</v>
      </c>
      <c r="D134" s="25" t="s">
        <v>542</v>
      </c>
      <c r="E134" s="17" t="s">
        <v>771</v>
      </c>
      <c r="F134" s="22"/>
    </row>
    <row r="135" ht="31.5" customHeight="1" spans="1:6">
      <c r="A135" s="23">
        <v>5</v>
      </c>
      <c r="B135" s="16" t="s">
        <v>772</v>
      </c>
      <c r="C135" s="25" t="s">
        <v>98</v>
      </c>
      <c r="D135" s="25" t="s">
        <v>542</v>
      </c>
      <c r="E135" s="17"/>
      <c r="F135" s="22"/>
    </row>
    <row r="136" ht="31.5" customHeight="1" spans="1:6">
      <c r="A136" s="23">
        <v>6</v>
      </c>
      <c r="B136" s="16" t="s">
        <v>773</v>
      </c>
      <c r="C136" s="24" t="s">
        <v>57</v>
      </c>
      <c r="D136" s="25" t="s">
        <v>774</v>
      </c>
      <c r="E136" s="17" t="s">
        <v>775</v>
      </c>
      <c r="F136" s="22" t="s">
        <v>776</v>
      </c>
    </row>
    <row r="137" ht="31.5" customHeight="1" spans="1:6">
      <c r="A137" s="23">
        <v>7</v>
      </c>
      <c r="B137" s="16" t="s">
        <v>777</v>
      </c>
      <c r="C137" s="24" t="s">
        <v>57</v>
      </c>
      <c r="D137" s="25" t="s">
        <v>778</v>
      </c>
      <c r="E137" s="17" t="s">
        <v>779</v>
      </c>
      <c r="F137" s="22" t="s">
        <v>780</v>
      </c>
    </row>
    <row r="138" ht="31.5" customHeight="1" spans="1:6">
      <c r="A138" s="23">
        <v>8</v>
      </c>
      <c r="B138" s="16" t="s">
        <v>781</v>
      </c>
      <c r="C138" s="24" t="s">
        <v>57</v>
      </c>
      <c r="D138" s="25" t="s">
        <v>516</v>
      </c>
      <c r="E138" s="17" t="s">
        <v>782</v>
      </c>
      <c r="F138" s="22"/>
    </row>
    <row r="139" ht="31.5" customHeight="1" spans="1:6">
      <c r="A139" s="23">
        <v>9</v>
      </c>
      <c r="B139" s="16" t="s">
        <v>783</v>
      </c>
      <c r="C139" s="25" t="s">
        <v>98</v>
      </c>
      <c r="D139" s="25" t="s">
        <v>520</v>
      </c>
      <c r="E139" s="17" t="s">
        <v>784</v>
      </c>
      <c r="F139" s="22"/>
    </row>
    <row r="140" ht="31.5" customHeight="1" spans="1:6">
      <c r="A140" s="23">
        <v>10</v>
      </c>
      <c r="B140" s="16" t="s">
        <v>785</v>
      </c>
      <c r="C140" s="24" t="s">
        <v>57</v>
      </c>
      <c r="D140" s="25" t="s">
        <v>571</v>
      </c>
      <c r="E140" s="17" t="s">
        <v>786</v>
      </c>
      <c r="F140" s="22"/>
    </row>
    <row r="141" ht="31.5" customHeight="1" spans="1:6">
      <c r="A141" s="23">
        <v>11</v>
      </c>
      <c r="B141" s="16" t="s">
        <v>787</v>
      </c>
      <c r="C141" s="24" t="s">
        <v>57</v>
      </c>
      <c r="D141" s="25" t="s">
        <v>523</v>
      </c>
      <c r="E141" s="17" t="s">
        <v>788</v>
      </c>
      <c r="F141" s="22"/>
    </row>
    <row r="142" ht="31.5" customHeight="1" spans="1:6">
      <c r="A142" s="23">
        <v>12</v>
      </c>
      <c r="B142" s="16" t="s">
        <v>416</v>
      </c>
      <c r="C142" s="24" t="s">
        <v>57</v>
      </c>
      <c r="D142" s="25" t="s">
        <v>529</v>
      </c>
      <c r="E142" s="17" t="s">
        <v>789</v>
      </c>
      <c r="F142" s="22"/>
    </row>
    <row r="143" ht="31.5" customHeight="1" spans="1:6">
      <c r="A143" s="23">
        <v>13</v>
      </c>
      <c r="B143" s="16" t="s">
        <v>790</v>
      </c>
      <c r="C143" s="24" t="s">
        <v>57</v>
      </c>
      <c r="D143" s="25" t="s">
        <v>791</v>
      </c>
      <c r="E143" s="17" t="s">
        <v>792</v>
      </c>
      <c r="F143" s="22"/>
    </row>
    <row r="144" ht="31.5" customHeight="1" spans="1:6">
      <c r="A144" s="23">
        <v>14</v>
      </c>
      <c r="B144" s="16" t="s">
        <v>467</v>
      </c>
      <c r="C144" s="24" t="s">
        <v>57</v>
      </c>
      <c r="D144" s="25" t="s">
        <v>760</v>
      </c>
      <c r="E144" s="17" t="s">
        <v>793</v>
      </c>
      <c r="F144" s="22" t="s">
        <v>794</v>
      </c>
    </row>
    <row r="145" ht="31.5" customHeight="1" spans="1:6">
      <c r="A145" s="23">
        <v>15</v>
      </c>
      <c r="B145" s="16" t="s">
        <v>795</v>
      </c>
      <c r="C145" s="24" t="s">
        <v>57</v>
      </c>
      <c r="D145" s="25" t="s">
        <v>796</v>
      </c>
      <c r="E145" s="17" t="s">
        <v>797</v>
      </c>
      <c r="F145" s="22"/>
    </row>
  </sheetData>
  <mergeCells count="8">
    <mergeCell ref="A1:F1"/>
    <mergeCell ref="A2:F2"/>
    <mergeCell ref="A3:F3"/>
    <mergeCell ref="A44:F44"/>
    <mergeCell ref="A70:F70"/>
    <mergeCell ref="A90:F90"/>
    <mergeCell ref="A110:F110"/>
    <mergeCell ref="A129:F129"/>
  </mergeCell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H25"/>
  <sheetViews>
    <sheetView tabSelected="1" workbookViewId="0">
      <pane ySplit="3" topLeftCell="A4" activePane="bottomLeft" state="frozen"/>
      <selection/>
      <selection pane="bottomLeft" activeCell="D15" sqref="D15"/>
    </sheetView>
  </sheetViews>
  <sheetFormatPr defaultColWidth="7.8984375" defaultRowHeight="16" outlineLevelCol="7"/>
  <cols>
    <col min="1" max="1" width="7.28125" customWidth="1"/>
    <col min="2" max="2" width="21.84375" customWidth="1"/>
    <col min="3" max="3" width="20.0078125" customWidth="1"/>
    <col min="4" max="4" width="41.8515625" customWidth="1"/>
    <col min="5" max="5" width="9.1015625" customWidth="1"/>
    <col min="6" max="6" width="10.921875" customWidth="1"/>
    <col min="7" max="7" width="27.296875" customWidth="1"/>
    <col min="8" max="8" width="23.65625" customWidth="1"/>
  </cols>
  <sheetData>
    <row r="1" ht="33.75" customHeight="1" spans="1:8">
      <c r="A1" s="1" t="s">
        <v>798</v>
      </c>
      <c r="B1" s="1"/>
      <c r="C1" s="1"/>
      <c r="D1" s="1"/>
      <c r="E1" s="1"/>
      <c r="F1" s="1"/>
      <c r="G1" s="1"/>
      <c r="H1" s="1"/>
    </row>
    <row r="2" ht="25.5" customHeight="1" spans="1:8">
      <c r="A2" s="13" t="s">
        <v>799</v>
      </c>
      <c r="B2" s="13"/>
      <c r="C2" s="13"/>
      <c r="D2" s="13"/>
      <c r="E2" s="13"/>
      <c r="F2" s="13"/>
      <c r="G2" s="13"/>
      <c r="H2" s="13"/>
    </row>
    <row r="3" ht="31.5" customHeight="1" spans="1:8">
      <c r="A3" s="5" t="s">
        <v>800</v>
      </c>
      <c r="B3" s="5" t="s">
        <v>801</v>
      </c>
      <c r="C3" s="5" t="s">
        <v>802</v>
      </c>
      <c r="D3" s="5" t="s">
        <v>803</v>
      </c>
      <c r="E3" s="5" t="s">
        <v>804</v>
      </c>
      <c r="F3" s="5" t="s">
        <v>805</v>
      </c>
      <c r="G3" s="5" t="s">
        <v>806</v>
      </c>
      <c r="H3" s="5" t="s">
        <v>61</v>
      </c>
    </row>
    <row r="4" ht="31.5" customHeight="1" spans="1:8">
      <c r="A4" s="18" t="s">
        <v>807</v>
      </c>
      <c r="B4" s="16" t="s">
        <v>159</v>
      </c>
      <c r="C4" s="19" t="s">
        <v>808</v>
      </c>
      <c r="D4" s="19" t="s">
        <v>809</v>
      </c>
      <c r="E4" s="18">
        <v>1</v>
      </c>
      <c r="F4" s="20" t="s">
        <v>810</v>
      </c>
      <c r="G4" s="21"/>
      <c r="H4" s="22" t="s">
        <v>811</v>
      </c>
    </row>
    <row r="5" ht="27.75" customHeight="1" spans="1:8">
      <c r="A5" s="18" t="s">
        <v>812</v>
      </c>
      <c r="B5" s="16" t="s">
        <v>162</v>
      </c>
      <c r="C5" s="19" t="s">
        <v>66</v>
      </c>
      <c r="D5" s="19" t="s">
        <v>813</v>
      </c>
      <c r="E5" s="18">
        <v>2</v>
      </c>
      <c r="F5" s="20" t="s">
        <v>810</v>
      </c>
      <c r="G5" s="21"/>
      <c r="H5" s="22"/>
    </row>
    <row r="6" ht="27.75" customHeight="1" spans="1:8">
      <c r="A6" s="18" t="s">
        <v>814</v>
      </c>
      <c r="B6" s="16" t="s">
        <v>815</v>
      </c>
      <c r="C6" s="19" t="s">
        <v>127</v>
      </c>
      <c r="D6" s="19" t="s">
        <v>816</v>
      </c>
      <c r="E6" s="18">
        <v>1</v>
      </c>
      <c r="F6" s="20" t="s">
        <v>810</v>
      </c>
      <c r="G6" s="21"/>
      <c r="H6" s="22"/>
    </row>
    <row r="7" ht="27.75" customHeight="1" spans="1:8">
      <c r="A7" s="18" t="s">
        <v>817</v>
      </c>
      <c r="B7" s="16" t="s">
        <v>818</v>
      </c>
      <c r="C7" s="19" t="s">
        <v>66</v>
      </c>
      <c r="D7" s="19" t="s">
        <v>819</v>
      </c>
      <c r="E7" s="18">
        <v>1</v>
      </c>
      <c r="F7" s="20" t="s">
        <v>810</v>
      </c>
      <c r="G7" s="21"/>
      <c r="H7" s="22"/>
    </row>
    <row r="8" ht="27.75" customHeight="1" spans="1:8">
      <c r="A8" s="18" t="s">
        <v>820</v>
      </c>
      <c r="B8" s="16" t="s">
        <v>145</v>
      </c>
      <c r="C8" s="19" t="s">
        <v>66</v>
      </c>
      <c r="D8" s="19" t="s">
        <v>146</v>
      </c>
      <c r="E8" s="18">
        <v>2</v>
      </c>
      <c r="F8" s="20" t="s">
        <v>810</v>
      </c>
      <c r="G8" s="21"/>
      <c r="H8" s="22"/>
    </row>
    <row r="9" ht="27.75" customHeight="1" spans="1:8">
      <c r="A9" s="18" t="s">
        <v>821</v>
      </c>
      <c r="B9" s="16" t="s">
        <v>148</v>
      </c>
      <c r="C9" s="19" t="s">
        <v>150</v>
      </c>
      <c r="D9" s="19" t="s">
        <v>822</v>
      </c>
      <c r="E9" s="18">
        <v>1</v>
      </c>
      <c r="F9" s="20" t="s">
        <v>810</v>
      </c>
      <c r="G9" s="21"/>
      <c r="H9" s="22"/>
    </row>
    <row r="10" ht="27.75" customHeight="1" spans="1:8">
      <c r="A10" s="18" t="s">
        <v>823</v>
      </c>
      <c r="B10" s="16" t="s">
        <v>151</v>
      </c>
      <c r="C10" s="19" t="s">
        <v>153</v>
      </c>
      <c r="D10" s="19" t="s">
        <v>824</v>
      </c>
      <c r="E10" s="18">
        <v>0</v>
      </c>
      <c r="F10" s="20" t="s">
        <v>825</v>
      </c>
      <c r="G10" s="21"/>
      <c r="H10" s="22" t="s">
        <v>826</v>
      </c>
    </row>
    <row r="11" ht="27.75" customHeight="1" spans="1:8">
      <c r="A11" s="18" t="s">
        <v>827</v>
      </c>
      <c r="B11" s="16" t="s">
        <v>828</v>
      </c>
      <c r="C11" s="19" t="s">
        <v>66</v>
      </c>
      <c r="D11" s="19" t="s">
        <v>829</v>
      </c>
      <c r="E11" s="18">
        <v>3</v>
      </c>
      <c r="F11" s="20" t="s">
        <v>810</v>
      </c>
      <c r="G11" s="21"/>
      <c r="H11" s="22" t="s">
        <v>830</v>
      </c>
    </row>
    <row r="12" ht="27.75" customHeight="1" spans="1:8">
      <c r="A12" s="18" t="s">
        <v>831</v>
      </c>
      <c r="B12" s="16" t="s">
        <v>359</v>
      </c>
      <c r="C12" s="19" t="s">
        <v>66</v>
      </c>
      <c r="D12" s="19" t="s">
        <v>832</v>
      </c>
      <c r="E12" s="18">
        <v>4</v>
      </c>
      <c r="F12" s="20" t="s">
        <v>810</v>
      </c>
      <c r="G12" s="21"/>
      <c r="H12" s="22" t="s">
        <v>833</v>
      </c>
    </row>
    <row r="13" ht="27.75" customHeight="1" spans="1:8">
      <c r="A13" s="18" t="s">
        <v>834</v>
      </c>
      <c r="B13" s="16" t="s">
        <v>835</v>
      </c>
      <c r="C13" s="19" t="s">
        <v>66</v>
      </c>
      <c r="D13" s="19" t="s">
        <v>836</v>
      </c>
      <c r="E13" s="18">
        <v>3</v>
      </c>
      <c r="F13" s="20" t="s">
        <v>810</v>
      </c>
      <c r="G13" s="21"/>
      <c r="H13" s="22" t="s">
        <v>837</v>
      </c>
    </row>
    <row r="14" ht="27.75" customHeight="1" spans="1:8">
      <c r="A14" s="18" t="s">
        <v>838</v>
      </c>
      <c r="B14" s="16" t="s">
        <v>839</v>
      </c>
      <c r="C14" s="19" t="s">
        <v>66</v>
      </c>
      <c r="D14" s="19" t="s">
        <v>840</v>
      </c>
      <c r="E14" s="18">
        <v>3</v>
      </c>
      <c r="F14" s="20" t="s">
        <v>810</v>
      </c>
      <c r="G14" s="21"/>
      <c r="H14" s="22"/>
    </row>
    <row r="15" ht="27.75" customHeight="1" spans="1:8">
      <c r="A15" s="18" t="s">
        <v>841</v>
      </c>
      <c r="B15" s="16" t="s">
        <v>842</v>
      </c>
      <c r="C15" s="19" t="s">
        <v>66</v>
      </c>
      <c r="D15" s="19" t="s">
        <v>843</v>
      </c>
      <c r="E15" s="18">
        <v>3</v>
      </c>
      <c r="F15" s="20" t="s">
        <v>810</v>
      </c>
      <c r="G15" s="21"/>
      <c r="H15" s="22"/>
    </row>
    <row r="16" ht="27.75" customHeight="1" spans="1:8">
      <c r="A16" s="18" t="s">
        <v>844</v>
      </c>
      <c r="B16" s="16" t="s">
        <v>363</v>
      </c>
      <c r="C16" s="19" t="s">
        <v>845</v>
      </c>
      <c r="D16" s="19" t="s">
        <v>846</v>
      </c>
      <c r="E16" s="18">
        <v>5</v>
      </c>
      <c r="F16" s="20" t="s">
        <v>810</v>
      </c>
      <c r="G16" s="21"/>
      <c r="H16" s="22" t="s">
        <v>847</v>
      </c>
    </row>
    <row r="17" ht="27.75" customHeight="1" spans="1:8">
      <c r="A17" s="18" t="s">
        <v>848</v>
      </c>
      <c r="B17" s="16" t="s">
        <v>849</v>
      </c>
      <c r="C17" s="19" t="s">
        <v>66</v>
      </c>
      <c r="D17" s="19" t="s">
        <v>850</v>
      </c>
      <c r="E17" s="18">
        <v>4</v>
      </c>
      <c r="F17" s="20" t="s">
        <v>810</v>
      </c>
      <c r="G17" s="21"/>
      <c r="H17" s="22"/>
    </row>
    <row r="18" ht="27.75" customHeight="1" spans="1:8">
      <c r="A18" s="18" t="s">
        <v>851</v>
      </c>
      <c r="B18" s="16" t="s">
        <v>852</v>
      </c>
      <c r="C18" s="19" t="s">
        <v>66</v>
      </c>
      <c r="D18" s="19" t="s">
        <v>853</v>
      </c>
      <c r="E18" s="18">
        <v>3</v>
      </c>
      <c r="F18" s="20" t="s">
        <v>810</v>
      </c>
      <c r="G18" s="21"/>
      <c r="H18" s="22"/>
    </row>
    <row r="19" ht="31.5" customHeight="1" spans="1:8">
      <c r="A19" s="18" t="s">
        <v>854</v>
      </c>
      <c r="B19" s="16" t="s">
        <v>855</v>
      </c>
      <c r="C19" s="19" t="s">
        <v>367</v>
      </c>
      <c r="D19" s="19" t="s">
        <v>856</v>
      </c>
      <c r="E19" s="18">
        <v>1</v>
      </c>
      <c r="F19" s="20" t="s">
        <v>810</v>
      </c>
      <c r="G19" s="21"/>
      <c r="H19" s="22" t="s">
        <v>857</v>
      </c>
    </row>
    <row r="20" ht="27.75" customHeight="1" spans="1:8">
      <c r="A20" s="18" t="s">
        <v>858</v>
      </c>
      <c r="B20" s="16" t="s">
        <v>859</v>
      </c>
      <c r="C20" s="19" t="s">
        <v>367</v>
      </c>
      <c r="D20" s="19" t="s">
        <v>860</v>
      </c>
      <c r="E20" s="18">
        <v>3</v>
      </c>
      <c r="F20" s="20" t="s">
        <v>810</v>
      </c>
      <c r="G20" s="21"/>
      <c r="H20" s="22"/>
    </row>
    <row r="21" ht="27.75" customHeight="1" spans="1:8">
      <c r="A21" s="18" t="s">
        <v>861</v>
      </c>
      <c r="B21" s="16" t="s">
        <v>862</v>
      </c>
      <c r="C21" s="19" t="s">
        <v>367</v>
      </c>
      <c r="D21" s="19" t="s">
        <v>863</v>
      </c>
      <c r="E21" s="18">
        <v>3</v>
      </c>
      <c r="F21" s="20" t="s">
        <v>810</v>
      </c>
      <c r="G21" s="21"/>
      <c r="H21" s="22"/>
    </row>
    <row r="22" ht="27.75" customHeight="1" spans="1:8">
      <c r="A22" s="18" t="s">
        <v>864</v>
      </c>
      <c r="B22" s="16" t="s">
        <v>865</v>
      </c>
      <c r="C22" s="19" t="s">
        <v>370</v>
      </c>
      <c r="D22" s="19" t="s">
        <v>866</v>
      </c>
      <c r="E22" s="18">
        <v>1</v>
      </c>
      <c r="F22" s="20" t="s">
        <v>810</v>
      </c>
      <c r="G22" s="21"/>
      <c r="H22" s="22" t="s">
        <v>867</v>
      </c>
    </row>
    <row r="23" ht="31.5" customHeight="1" spans="1:8">
      <c r="A23" s="18" t="s">
        <v>868</v>
      </c>
      <c r="B23" s="16" t="s">
        <v>869</v>
      </c>
      <c r="C23" s="19" t="s">
        <v>870</v>
      </c>
      <c r="D23" s="19" t="s">
        <v>871</v>
      </c>
      <c r="E23" s="18">
        <v>1</v>
      </c>
      <c r="F23" s="20" t="s">
        <v>810</v>
      </c>
      <c r="G23" s="21"/>
      <c r="H23" s="22" t="s">
        <v>872</v>
      </c>
    </row>
    <row r="24" ht="27.75" customHeight="1" spans="1:8">
      <c r="A24" s="18" t="s">
        <v>873</v>
      </c>
      <c r="B24" s="16" t="s">
        <v>874</v>
      </c>
      <c r="C24" s="19" t="s">
        <v>66</v>
      </c>
      <c r="D24" s="19" t="s">
        <v>875</v>
      </c>
      <c r="E24" s="18">
        <v>1</v>
      </c>
      <c r="F24" s="20" t="s">
        <v>810</v>
      </c>
      <c r="G24" s="21"/>
      <c r="H24" s="22"/>
    </row>
    <row r="25" ht="27.75" customHeight="1" spans="1:8">
      <c r="A25" s="18" t="s">
        <v>876</v>
      </c>
      <c r="B25" s="16" t="s">
        <v>877</v>
      </c>
      <c r="C25" s="19" t="s">
        <v>878</v>
      </c>
      <c r="D25" s="19" t="s">
        <v>879</v>
      </c>
      <c r="E25" s="18">
        <v>5</v>
      </c>
      <c r="F25" s="20" t="s">
        <v>810</v>
      </c>
      <c r="G25" s="21"/>
      <c r="H25" s="22" t="s">
        <v>880</v>
      </c>
    </row>
  </sheetData>
  <autoFilter xmlns:etc="http://www.wps.cn/officeDocument/2017/etCustomData" ref="A3:H25" etc:filterBottomFollowUsedRange="0">
    <extLst/>
  </autoFilter>
  <mergeCells count="2">
    <mergeCell ref="A1:H1"/>
    <mergeCell ref="A2:H2"/>
  </mergeCells>
  <conditionalFormatting sqref="F4:F25">
    <cfRule type="cellIs" dxfId="4" priority="2" operator="equal">
      <formula>"已有"</formula>
    </cfRule>
    <cfRule type="cellIs" dxfId="5" priority="3" operator="equal">
      <formula>"待拍"</formula>
    </cfRule>
    <cfRule type="cellIs" dxfId="6" priority="4" operator="equal">
      <formula>"待修"</formula>
    </cfRule>
    <cfRule type="cellIs" dxfId="7" priority="5" operator="equal">
      <formula>"不需要"</formula>
    </cfRule>
  </conditionalFormatting>
  <dataValidations count="1">
    <dataValidation type="list" allowBlank="1" showErrorMessage="1" errorTitle="只能选" error="请从下拉里选：已有/待拍/待修/不需要" sqref="F4:F25">
      <formula1>"已有,待拍,待修,不需要"</formula1>
    </dataValidation>
  </dataValidation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C47"/>
  <sheetViews>
    <sheetView showGridLines="0" topLeftCell="A5" workbookViewId="0">
      <selection activeCell="A1" sqref="A1:C1"/>
    </sheetView>
  </sheetViews>
  <sheetFormatPr defaultColWidth="7.8984375" defaultRowHeight="16" outlineLevelCol="2"/>
  <cols>
    <col min="1" max="1" width="14.5625" customWidth="1"/>
    <col min="2" max="2" width="36.390625" customWidth="1"/>
    <col min="3" max="3" width="45.4921875" customWidth="1"/>
  </cols>
  <sheetData>
    <row r="1" ht="33.75" customHeight="1" spans="1:3">
      <c r="A1" s="1" t="s">
        <v>881</v>
      </c>
      <c r="B1" s="1"/>
      <c r="C1" s="1"/>
    </row>
    <row r="2" ht="25.5" customHeight="1" spans="1:3">
      <c r="A2" s="13" t="s">
        <v>882</v>
      </c>
      <c r="B2" s="13"/>
      <c r="C2" s="13"/>
    </row>
    <row r="3" ht="24" customHeight="1" spans="1:3">
      <c r="A3" s="14" t="s">
        <v>883</v>
      </c>
      <c r="B3" s="14"/>
      <c r="C3" s="14"/>
    </row>
    <row r="4" ht="21.75" customHeight="1" spans="1:3">
      <c r="A4" s="15" t="s">
        <v>497</v>
      </c>
      <c r="B4" s="15" t="s">
        <v>884</v>
      </c>
      <c r="C4" s="15" t="s">
        <v>885</v>
      </c>
    </row>
    <row r="5" ht="33.75" customHeight="1" spans="1:3">
      <c r="A5" s="16" t="s">
        <v>886</v>
      </c>
      <c r="B5" s="17" t="s">
        <v>887</v>
      </c>
      <c r="C5" s="17" t="s">
        <v>888</v>
      </c>
    </row>
    <row r="6" ht="33.75" customHeight="1" spans="1:3">
      <c r="A6" s="16" t="s">
        <v>889</v>
      </c>
      <c r="B6" s="17" t="s">
        <v>890</v>
      </c>
      <c r="C6" s="17" t="s">
        <v>891</v>
      </c>
    </row>
    <row r="7" ht="33.75" customHeight="1" spans="1:3">
      <c r="A7" s="16" t="s">
        <v>892</v>
      </c>
      <c r="B7" s="17" t="s">
        <v>893</v>
      </c>
      <c r="C7" s="17" t="s">
        <v>894</v>
      </c>
    </row>
    <row r="8" ht="33.75" customHeight="1" spans="1:3">
      <c r="A8" s="16" t="s">
        <v>895</v>
      </c>
      <c r="B8" s="17" t="s">
        <v>896</v>
      </c>
      <c r="C8" s="17" t="s">
        <v>897</v>
      </c>
    </row>
    <row r="9" ht="33.75" customHeight="1" spans="1:3">
      <c r="A9" s="16" t="s">
        <v>898</v>
      </c>
      <c r="B9" s="17" t="s">
        <v>899</v>
      </c>
      <c r="C9" s="17" t="s">
        <v>900</v>
      </c>
    </row>
    <row r="10" ht="33.75" customHeight="1" spans="1:3">
      <c r="A10" s="16" t="s">
        <v>901</v>
      </c>
      <c r="B10" s="17" t="s">
        <v>902</v>
      </c>
      <c r="C10" s="17" t="s">
        <v>903</v>
      </c>
    </row>
    <row r="11" ht="33.75" customHeight="1" spans="1:3">
      <c r="A11" s="16" t="s">
        <v>904</v>
      </c>
      <c r="B11" s="17" t="s">
        <v>905</v>
      </c>
      <c r="C11" s="17" t="s">
        <v>906</v>
      </c>
    </row>
    <row r="12" ht="18.75" customHeight="1"/>
    <row r="13" ht="24" customHeight="1" spans="1:3">
      <c r="A13" s="14" t="s">
        <v>907</v>
      </c>
      <c r="B13" s="14"/>
      <c r="C13" s="14"/>
    </row>
    <row r="14" ht="21.75" customHeight="1" spans="1:3">
      <c r="A14" s="15" t="s">
        <v>496</v>
      </c>
      <c r="B14" s="15" t="s">
        <v>908</v>
      </c>
      <c r="C14" s="15" t="s">
        <v>909</v>
      </c>
    </row>
    <row r="15" ht="31.5" customHeight="1" spans="1:3">
      <c r="A15" s="16" t="s">
        <v>910</v>
      </c>
      <c r="B15" s="17" t="s">
        <v>318</v>
      </c>
      <c r="C15" s="17" t="s">
        <v>911</v>
      </c>
    </row>
    <row r="16" ht="31.5" customHeight="1" spans="1:3">
      <c r="A16" s="16" t="s">
        <v>912</v>
      </c>
      <c r="B16" s="17" t="s">
        <v>320</v>
      </c>
      <c r="C16" s="17" t="s">
        <v>913</v>
      </c>
    </row>
    <row r="17" ht="31.5" customHeight="1" spans="1:3">
      <c r="A17" s="16" t="s">
        <v>914</v>
      </c>
      <c r="B17" s="17" t="s">
        <v>324</v>
      </c>
      <c r="C17" s="17" t="s">
        <v>915</v>
      </c>
    </row>
    <row r="18" ht="31.5" customHeight="1" spans="1:3">
      <c r="A18" s="16" t="s">
        <v>916</v>
      </c>
      <c r="B18" s="17" t="s">
        <v>917</v>
      </c>
      <c r="C18" s="17" t="s">
        <v>918</v>
      </c>
    </row>
    <row r="19" ht="31.5" customHeight="1" spans="1:3">
      <c r="A19" s="16" t="s">
        <v>919</v>
      </c>
      <c r="B19" s="17" t="s">
        <v>920</v>
      </c>
      <c r="C19" s="17" t="s">
        <v>921</v>
      </c>
    </row>
    <row r="20" ht="31.5" customHeight="1" spans="1:3">
      <c r="A20" s="16" t="s">
        <v>922</v>
      </c>
      <c r="B20" s="17" t="s">
        <v>923</v>
      </c>
      <c r="C20" s="17" t="s">
        <v>924</v>
      </c>
    </row>
    <row r="21" ht="31.5" customHeight="1" spans="1:3">
      <c r="A21" s="16" t="s">
        <v>925</v>
      </c>
      <c r="B21" s="17" t="s">
        <v>926</v>
      </c>
      <c r="C21" s="17" t="s">
        <v>927</v>
      </c>
    </row>
    <row r="22" ht="18.75" customHeight="1"/>
    <row r="23" ht="24" customHeight="1" spans="1:3">
      <c r="A23" s="14" t="s">
        <v>928</v>
      </c>
      <c r="B23" s="14"/>
      <c r="C23" s="14"/>
    </row>
    <row r="24" ht="21.75" customHeight="1" spans="1:3">
      <c r="A24" s="15" t="s">
        <v>929</v>
      </c>
      <c r="B24" s="15" t="s">
        <v>930</v>
      </c>
      <c r="C24" s="15" t="s">
        <v>931</v>
      </c>
    </row>
    <row r="25" ht="33.75" customHeight="1" spans="1:3">
      <c r="A25" s="16" t="s">
        <v>932</v>
      </c>
      <c r="B25" s="17" t="s">
        <v>933</v>
      </c>
      <c r="C25" s="17" t="s">
        <v>934</v>
      </c>
    </row>
    <row r="26" ht="33.75" customHeight="1" spans="1:3">
      <c r="A26" s="16" t="s">
        <v>935</v>
      </c>
      <c r="B26" s="17" t="s">
        <v>936</v>
      </c>
      <c r="C26" s="17" t="s">
        <v>937</v>
      </c>
    </row>
    <row r="27" ht="33.75" customHeight="1" spans="1:3">
      <c r="A27" s="16" t="s">
        <v>938</v>
      </c>
      <c r="B27" s="17" t="s">
        <v>939</v>
      </c>
      <c r="C27" s="17" t="s">
        <v>940</v>
      </c>
    </row>
    <row r="28" ht="33.75" customHeight="1" spans="1:3">
      <c r="A28" s="16" t="s">
        <v>941</v>
      </c>
      <c r="B28" s="17" t="s">
        <v>942</v>
      </c>
      <c r="C28" s="17" t="s">
        <v>943</v>
      </c>
    </row>
    <row r="29" ht="33.75" customHeight="1" spans="1:3">
      <c r="A29" s="16" t="s">
        <v>235</v>
      </c>
      <c r="B29" s="17" t="s">
        <v>944</v>
      </c>
      <c r="C29" s="17" t="s">
        <v>945</v>
      </c>
    </row>
    <row r="30" ht="45" customHeight="1" spans="1:3">
      <c r="A30" s="16" t="s">
        <v>946</v>
      </c>
      <c r="B30" s="17" t="s">
        <v>947</v>
      </c>
      <c r="C30" s="17" t="s">
        <v>948</v>
      </c>
    </row>
    <row r="31" ht="18.75" customHeight="1"/>
    <row r="32" ht="24" customHeight="1" spans="1:3">
      <c r="A32" s="14" t="s">
        <v>949</v>
      </c>
      <c r="B32" s="14"/>
      <c r="C32" s="14"/>
    </row>
    <row r="33" ht="21.75" customHeight="1" spans="1:3">
      <c r="A33" s="15" t="s">
        <v>950</v>
      </c>
      <c r="B33" s="15" t="s">
        <v>951</v>
      </c>
      <c r="C33" s="15" t="s">
        <v>952</v>
      </c>
    </row>
    <row r="34" ht="57.75" customHeight="1" spans="1:3">
      <c r="A34" s="16" t="s">
        <v>953</v>
      </c>
      <c r="B34" s="17" t="s">
        <v>954</v>
      </c>
      <c r="C34" s="17" t="s">
        <v>955</v>
      </c>
    </row>
    <row r="35" ht="54" customHeight="1" spans="1:3">
      <c r="A35" s="16" t="s">
        <v>956</v>
      </c>
      <c r="B35" s="17" t="s">
        <v>957</v>
      </c>
      <c r="C35" s="17" t="s">
        <v>958</v>
      </c>
    </row>
    <row r="36" ht="54" customHeight="1" spans="1:3">
      <c r="A36" s="16" t="s">
        <v>959</v>
      </c>
      <c r="B36" s="17" t="s">
        <v>960</v>
      </c>
      <c r="C36" s="17" t="s">
        <v>961</v>
      </c>
    </row>
    <row r="37" ht="54" customHeight="1" spans="1:3">
      <c r="A37" s="16" t="s">
        <v>962</v>
      </c>
      <c r="B37" s="17" t="s">
        <v>963</v>
      </c>
      <c r="C37" s="17" t="s">
        <v>964</v>
      </c>
    </row>
    <row r="38" ht="57.75" customHeight="1" spans="1:3">
      <c r="A38" s="16" t="s">
        <v>965</v>
      </c>
      <c r="B38" s="17" t="s">
        <v>966</v>
      </c>
      <c r="C38" s="17" t="s">
        <v>967</v>
      </c>
    </row>
    <row r="39" ht="18.75" customHeight="1"/>
    <row r="40" ht="24" customHeight="1" spans="1:3">
      <c r="A40" s="14" t="s">
        <v>968</v>
      </c>
      <c r="B40" s="14"/>
      <c r="C40" s="14"/>
    </row>
    <row r="41" ht="21.75" customHeight="1" spans="1:3">
      <c r="A41" s="15" t="s">
        <v>496</v>
      </c>
      <c r="B41" s="15" t="s">
        <v>969</v>
      </c>
      <c r="C41" s="15" t="s">
        <v>970</v>
      </c>
    </row>
    <row r="42" ht="33.75" customHeight="1" spans="1:3">
      <c r="A42" s="16" t="s">
        <v>910</v>
      </c>
      <c r="B42" s="17" t="s">
        <v>971</v>
      </c>
      <c r="C42" s="17" t="s">
        <v>972</v>
      </c>
    </row>
    <row r="43" ht="33.75" customHeight="1" spans="1:3">
      <c r="A43" s="16" t="s">
        <v>912</v>
      </c>
      <c r="B43" s="17" t="s">
        <v>973</v>
      </c>
      <c r="C43" s="17" t="s">
        <v>974</v>
      </c>
    </row>
    <row r="44" ht="33.75" customHeight="1" spans="1:3">
      <c r="A44" s="16" t="s">
        <v>914</v>
      </c>
      <c r="B44" s="17" t="s">
        <v>975</v>
      </c>
      <c r="C44" s="17" t="s">
        <v>976</v>
      </c>
    </row>
    <row r="45" ht="33.75" customHeight="1" spans="1:3">
      <c r="A45" s="16" t="s">
        <v>916</v>
      </c>
      <c r="B45" s="17" t="s">
        <v>977</v>
      </c>
      <c r="C45" s="17" t="s">
        <v>978</v>
      </c>
    </row>
    <row r="46" ht="33.75" customHeight="1" spans="1:3">
      <c r="A46" s="16" t="s">
        <v>919</v>
      </c>
      <c r="B46" s="17" t="s">
        <v>979</v>
      </c>
      <c r="C46" s="17" t="s">
        <v>980</v>
      </c>
    </row>
    <row r="47" ht="33.75" customHeight="1" spans="1:3">
      <c r="A47" s="16" t="s">
        <v>922</v>
      </c>
      <c r="B47" s="17" t="s">
        <v>981</v>
      </c>
      <c r="C47" s="17" t="s">
        <v>982</v>
      </c>
    </row>
  </sheetData>
  <mergeCells count="7">
    <mergeCell ref="A1:C1"/>
    <mergeCell ref="A2:C2"/>
    <mergeCell ref="A3:C3"/>
    <mergeCell ref="A13:C13"/>
    <mergeCell ref="A23:C23"/>
    <mergeCell ref="A32:C32"/>
    <mergeCell ref="A40:C40"/>
  </mergeCell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J24"/>
  <sheetViews>
    <sheetView workbookViewId="0">
      <pane xSplit="3" ySplit="3" topLeftCell="D6" activePane="bottomRight" state="frozen"/>
      <selection/>
      <selection pane="topRight"/>
      <selection pane="bottomLeft"/>
      <selection pane="bottomRight" activeCell="A1" sqref="A1:J1"/>
    </sheetView>
  </sheetViews>
  <sheetFormatPr defaultColWidth="7.8984375" defaultRowHeight="16"/>
  <cols>
    <col min="1" max="1" width="14.5625" customWidth="1"/>
    <col min="2" max="2" width="18.203125" customWidth="1"/>
    <col min="3" max="3" width="16.3828125" customWidth="1"/>
    <col min="4" max="6" width="10.921875" customWidth="1"/>
    <col min="7" max="7" width="36.390625" customWidth="1"/>
    <col min="8" max="8" width="23.65625" customWidth="1"/>
    <col min="9" max="9" width="9.1015625" customWidth="1"/>
    <col min="10" max="10" width="20.0078125" customWidth="1"/>
  </cols>
  <sheetData>
    <row r="1" ht="33.75" customHeight="1" spans="1:10">
      <c r="A1" s="1" t="s">
        <v>983</v>
      </c>
      <c r="B1" s="1"/>
      <c r="C1" s="1"/>
      <c r="D1" s="1"/>
      <c r="E1" s="1"/>
      <c r="F1" s="1"/>
      <c r="G1" s="1"/>
      <c r="H1" s="1"/>
      <c r="I1" s="1"/>
      <c r="J1" s="1"/>
    </row>
    <row r="2" ht="27.75" customHeight="1" spans="1:10">
      <c r="A2" s="2" t="s">
        <v>984</v>
      </c>
      <c r="B2" s="3">
        <f>COUNTA(A4:A24)</f>
        <v>21</v>
      </c>
      <c r="C2" s="2" t="s">
        <v>985</v>
      </c>
      <c r="D2" s="3">
        <f>COUNTIF(D4:D24,"已上架")</f>
        <v>0</v>
      </c>
      <c r="E2" s="2" t="s">
        <v>986</v>
      </c>
      <c r="F2" s="3">
        <f>COUNTIF(D4:D24,"审核中")</f>
        <v>0</v>
      </c>
      <c r="G2" s="2" t="s">
        <v>987</v>
      </c>
      <c r="H2" s="3">
        <f>COUNTIF(D4:D24,"被驳回")</f>
        <v>0</v>
      </c>
      <c r="I2" s="2" t="s">
        <v>988</v>
      </c>
      <c r="J2" s="4">
        <f>IF(OR(B2="",B2=0),"",D2/B2)</f>
        <v>0</v>
      </c>
    </row>
    <row r="3" ht="27.75" customHeight="1" spans="1:10">
      <c r="A3" s="5" t="s">
        <v>989</v>
      </c>
      <c r="B3" s="5" t="s">
        <v>990</v>
      </c>
      <c r="C3" s="5" t="s">
        <v>991</v>
      </c>
      <c r="D3" s="5" t="s">
        <v>992</v>
      </c>
      <c r="E3" s="5" t="s">
        <v>993</v>
      </c>
      <c r="F3" s="5" t="s">
        <v>994</v>
      </c>
      <c r="G3" s="5" t="s">
        <v>995</v>
      </c>
      <c r="H3" s="5" t="s">
        <v>996</v>
      </c>
      <c r="I3" s="5" t="s">
        <v>997</v>
      </c>
      <c r="J3" s="5" t="s">
        <v>61</v>
      </c>
    </row>
    <row r="4" ht="24" customHeight="1" spans="1:10">
      <c r="A4" s="6" t="s">
        <v>262</v>
      </c>
      <c r="B4" s="7" t="s">
        <v>65</v>
      </c>
      <c r="C4" s="8" t="s">
        <v>998</v>
      </c>
      <c r="D4" s="9" t="s">
        <v>999</v>
      </c>
      <c r="E4" s="10"/>
      <c r="F4" s="11"/>
      <c r="G4" s="12"/>
      <c r="H4" s="11"/>
      <c r="I4" s="11"/>
      <c r="J4" s="11"/>
    </row>
    <row r="5" ht="24" customHeight="1" spans="1:10">
      <c r="A5" s="6" t="s">
        <v>262</v>
      </c>
      <c r="B5" s="7" t="s">
        <v>65</v>
      </c>
      <c r="C5" s="8" t="s">
        <v>1000</v>
      </c>
      <c r="D5" s="9" t="s">
        <v>999</v>
      </c>
      <c r="E5" s="10"/>
      <c r="F5" s="11"/>
      <c r="G5" s="12"/>
      <c r="H5" s="11"/>
      <c r="I5" s="11"/>
      <c r="J5" s="11"/>
    </row>
    <row r="6" ht="24" customHeight="1" spans="1:10">
      <c r="A6" s="6" t="s">
        <v>262</v>
      </c>
      <c r="B6" s="7" t="s">
        <v>65</v>
      </c>
      <c r="C6" s="8" t="s">
        <v>1001</v>
      </c>
      <c r="D6" s="9" t="s">
        <v>999</v>
      </c>
      <c r="E6" s="10"/>
      <c r="F6" s="11"/>
      <c r="G6" s="12"/>
      <c r="H6" s="11"/>
      <c r="I6" s="11"/>
      <c r="J6" s="11"/>
    </row>
    <row r="7" ht="24" customHeight="1" spans="1:10">
      <c r="A7" s="6" t="s">
        <v>1002</v>
      </c>
      <c r="B7" s="7" t="s">
        <v>65</v>
      </c>
      <c r="C7" s="8" t="s">
        <v>998</v>
      </c>
      <c r="D7" s="9" t="s">
        <v>999</v>
      </c>
      <c r="E7" s="10"/>
      <c r="F7" s="11"/>
      <c r="G7" s="12"/>
      <c r="H7" s="11"/>
      <c r="I7" s="11"/>
      <c r="J7" s="11"/>
    </row>
    <row r="8" ht="24" customHeight="1" spans="1:10">
      <c r="A8" s="6" t="s">
        <v>1002</v>
      </c>
      <c r="B8" s="7" t="s">
        <v>65</v>
      </c>
      <c r="C8" s="8" t="s">
        <v>1000</v>
      </c>
      <c r="D8" s="9" t="s">
        <v>999</v>
      </c>
      <c r="E8" s="10"/>
      <c r="F8" s="11"/>
      <c r="G8" s="12"/>
      <c r="H8" s="11"/>
      <c r="I8" s="11"/>
      <c r="J8" s="11"/>
    </row>
    <row r="9" ht="24" customHeight="1" spans="1:10">
      <c r="A9" s="6" t="s">
        <v>1002</v>
      </c>
      <c r="B9" s="7" t="s">
        <v>65</v>
      </c>
      <c r="C9" s="8" t="s">
        <v>1001</v>
      </c>
      <c r="D9" s="9" t="s">
        <v>999</v>
      </c>
      <c r="E9" s="10"/>
      <c r="F9" s="11"/>
      <c r="G9" s="12"/>
      <c r="H9" s="11"/>
      <c r="I9" s="11"/>
      <c r="J9" s="11"/>
    </row>
    <row r="10" ht="24" customHeight="1" spans="1:10">
      <c r="A10" s="6" t="s">
        <v>394</v>
      </c>
      <c r="B10" s="7" t="s">
        <v>65</v>
      </c>
      <c r="C10" s="8" t="s">
        <v>998</v>
      </c>
      <c r="D10" s="9" t="s">
        <v>999</v>
      </c>
      <c r="E10" s="10"/>
      <c r="F10" s="11"/>
      <c r="G10" s="12"/>
      <c r="H10" s="11"/>
      <c r="I10" s="11"/>
      <c r="J10" s="11"/>
    </row>
    <row r="11" ht="24" customHeight="1" spans="1:10">
      <c r="A11" s="6" t="s">
        <v>394</v>
      </c>
      <c r="B11" s="7" t="s">
        <v>65</v>
      </c>
      <c r="C11" s="8" t="s">
        <v>1000</v>
      </c>
      <c r="D11" s="9" t="s">
        <v>999</v>
      </c>
      <c r="E11" s="10"/>
      <c r="F11" s="11"/>
      <c r="G11" s="12"/>
      <c r="H11" s="11"/>
      <c r="I11" s="11"/>
      <c r="J11" s="11"/>
    </row>
    <row r="12" ht="24" customHeight="1" spans="1:10">
      <c r="A12" s="6" t="s">
        <v>394</v>
      </c>
      <c r="B12" s="7" t="s">
        <v>65</v>
      </c>
      <c r="C12" s="8" t="s">
        <v>1001</v>
      </c>
      <c r="D12" s="9" t="s">
        <v>999</v>
      </c>
      <c r="E12" s="10"/>
      <c r="F12" s="11"/>
      <c r="G12" s="12"/>
      <c r="H12" s="11"/>
      <c r="I12" s="11"/>
      <c r="J12" s="11"/>
    </row>
    <row r="13" ht="24" customHeight="1" spans="1:10">
      <c r="A13" s="6" t="s">
        <v>645</v>
      </c>
      <c r="B13" s="7" t="s">
        <v>65</v>
      </c>
      <c r="C13" s="8" t="s">
        <v>998</v>
      </c>
      <c r="D13" s="9" t="s">
        <v>999</v>
      </c>
      <c r="E13" s="10"/>
      <c r="F13" s="11"/>
      <c r="G13" s="12"/>
      <c r="H13" s="11"/>
      <c r="I13" s="11"/>
      <c r="J13" s="11"/>
    </row>
    <row r="14" ht="24" customHeight="1" spans="1:10">
      <c r="A14" s="6" t="s">
        <v>645</v>
      </c>
      <c r="B14" s="7" t="s">
        <v>65</v>
      </c>
      <c r="C14" s="8" t="s">
        <v>1000</v>
      </c>
      <c r="D14" s="9" t="s">
        <v>999</v>
      </c>
      <c r="E14" s="10"/>
      <c r="F14" s="11"/>
      <c r="G14" s="12"/>
      <c r="H14" s="11"/>
      <c r="I14" s="11"/>
      <c r="J14" s="11"/>
    </row>
    <row r="15" ht="24" customHeight="1" spans="1:10">
      <c r="A15" s="6" t="s">
        <v>645</v>
      </c>
      <c r="B15" s="7" t="s">
        <v>65</v>
      </c>
      <c r="C15" s="8" t="s">
        <v>1001</v>
      </c>
      <c r="D15" s="9" t="s">
        <v>999</v>
      </c>
      <c r="E15" s="10"/>
      <c r="F15" s="11"/>
      <c r="G15" s="12"/>
      <c r="H15" s="11"/>
      <c r="I15" s="11"/>
      <c r="J15" s="11"/>
    </row>
    <row r="16" ht="24" customHeight="1" spans="1:10">
      <c r="A16" s="6" t="s">
        <v>199</v>
      </c>
      <c r="B16" s="7" t="s">
        <v>65</v>
      </c>
      <c r="C16" s="8" t="s">
        <v>998</v>
      </c>
      <c r="D16" s="9" t="s">
        <v>999</v>
      </c>
      <c r="E16" s="10"/>
      <c r="F16" s="11"/>
      <c r="G16" s="12"/>
      <c r="H16" s="11"/>
      <c r="I16" s="11"/>
      <c r="J16" s="11"/>
    </row>
    <row r="17" ht="24" customHeight="1" spans="1:10">
      <c r="A17" s="6" t="s">
        <v>199</v>
      </c>
      <c r="B17" s="7" t="s">
        <v>65</v>
      </c>
      <c r="C17" s="8" t="s">
        <v>1000</v>
      </c>
      <c r="D17" s="9" t="s">
        <v>999</v>
      </c>
      <c r="E17" s="10"/>
      <c r="F17" s="11"/>
      <c r="G17" s="12"/>
      <c r="H17" s="11"/>
      <c r="I17" s="11"/>
      <c r="J17" s="11"/>
    </row>
    <row r="18" ht="24" customHeight="1" spans="1:10">
      <c r="A18" s="6" t="s">
        <v>199</v>
      </c>
      <c r="B18" s="7" t="s">
        <v>65</v>
      </c>
      <c r="C18" s="8" t="s">
        <v>1001</v>
      </c>
      <c r="D18" s="9" t="s">
        <v>999</v>
      </c>
      <c r="E18" s="10"/>
      <c r="F18" s="11"/>
      <c r="G18" s="12"/>
      <c r="H18" s="11"/>
      <c r="I18" s="11"/>
      <c r="J18" s="11"/>
    </row>
    <row r="19" ht="24" customHeight="1" spans="1:10">
      <c r="A19" s="6" t="s">
        <v>205</v>
      </c>
      <c r="B19" s="7" t="s">
        <v>65</v>
      </c>
      <c r="C19" s="8" t="s">
        <v>998</v>
      </c>
      <c r="D19" s="9" t="s">
        <v>999</v>
      </c>
      <c r="E19" s="10"/>
      <c r="F19" s="11"/>
      <c r="G19" s="12"/>
      <c r="H19" s="11"/>
      <c r="I19" s="11"/>
      <c r="J19" s="11"/>
    </row>
    <row r="20" ht="24" customHeight="1" spans="1:10">
      <c r="A20" s="6" t="s">
        <v>205</v>
      </c>
      <c r="B20" s="7" t="s">
        <v>65</v>
      </c>
      <c r="C20" s="8" t="s">
        <v>1000</v>
      </c>
      <c r="D20" s="9" t="s">
        <v>999</v>
      </c>
      <c r="E20" s="10"/>
      <c r="F20" s="11"/>
      <c r="G20" s="12"/>
      <c r="H20" s="11"/>
      <c r="I20" s="11"/>
      <c r="J20" s="11"/>
    </row>
    <row r="21" ht="24" customHeight="1" spans="1:10">
      <c r="A21" s="6" t="s">
        <v>205</v>
      </c>
      <c r="B21" s="7" t="s">
        <v>65</v>
      </c>
      <c r="C21" s="8" t="s">
        <v>1001</v>
      </c>
      <c r="D21" s="9" t="s">
        <v>999</v>
      </c>
      <c r="E21" s="10"/>
      <c r="F21" s="11"/>
      <c r="G21" s="12"/>
      <c r="H21" s="11"/>
      <c r="I21" s="11"/>
      <c r="J21" s="11"/>
    </row>
    <row r="22" ht="24" customHeight="1" spans="1:10">
      <c r="A22" s="6" t="s">
        <v>208</v>
      </c>
      <c r="B22" s="7" t="s">
        <v>65</v>
      </c>
      <c r="C22" s="8" t="s">
        <v>998</v>
      </c>
      <c r="D22" s="9" t="s">
        <v>999</v>
      </c>
      <c r="E22" s="10"/>
      <c r="F22" s="11"/>
      <c r="G22" s="12"/>
      <c r="H22" s="11"/>
      <c r="I22" s="11"/>
      <c r="J22" s="11"/>
    </row>
    <row r="23" ht="24" customHeight="1" spans="1:10">
      <c r="A23" s="6" t="s">
        <v>208</v>
      </c>
      <c r="B23" s="7" t="s">
        <v>65</v>
      </c>
      <c r="C23" s="8" t="s">
        <v>1000</v>
      </c>
      <c r="D23" s="9" t="s">
        <v>999</v>
      </c>
      <c r="E23" s="10"/>
      <c r="F23" s="11"/>
      <c r="G23" s="12"/>
      <c r="H23" s="11"/>
      <c r="I23" s="11"/>
      <c r="J23" s="11"/>
    </row>
    <row r="24" ht="24" customHeight="1" spans="1:10">
      <c r="A24" s="6" t="s">
        <v>208</v>
      </c>
      <c r="B24" s="7" t="s">
        <v>65</v>
      </c>
      <c r="C24" s="8" t="s">
        <v>1001</v>
      </c>
      <c r="D24" s="9" t="s">
        <v>999</v>
      </c>
      <c r="E24" s="10"/>
      <c r="F24" s="11"/>
      <c r="G24" s="12"/>
      <c r="H24" s="11"/>
      <c r="I24" s="11"/>
      <c r="J24" s="11"/>
    </row>
  </sheetData>
  <autoFilter xmlns:etc="http://www.wps.cn/officeDocument/2017/etCustomData" ref="A3:J24" etc:filterBottomFollowUsedRange="0">
    <extLst/>
  </autoFilter>
  <mergeCells count="1">
    <mergeCell ref="A1:J1"/>
  </mergeCells>
  <conditionalFormatting sqref="D4:D24">
    <cfRule type="cellIs" dxfId="8" priority="2" operator="equal">
      <formula>"已上架"</formula>
    </cfRule>
    <cfRule type="cellIs" dxfId="9" priority="3" operator="equal">
      <formula>"被驳回"</formula>
    </cfRule>
    <cfRule type="cellIs" dxfId="10" priority="4" operator="equal">
      <formula>"审核中"</formula>
    </cfRule>
  </conditionalFormatting>
  <dataValidations count="1">
    <dataValidation type="list" allowBlank="1" showErrorMessage="1" errorTitle="只能选" error="请从下拉里选" sqref="D4:D24">
      <formula1>"未开始,准备素材,待提交,审核中,已上架,被驳回,暂不上架"</formula1>
    </dataValidation>
  </dataValidations>
  <printOptions horizontalCentered="1"/>
  <pageMargins left="0.4" right="0.4" top="0.5" bottom="0.5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LibreOffice/26.2.4.2$MacOSX_AARCH64 LibreOffice_project/0229ac93fcf0d7cbc6376066c6f35021cef002dc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01_填写说明</vt:lpstr>
      <vt:lpstr>02_门店通用信息</vt:lpstr>
      <vt:lpstr>03_套餐填写表</vt:lpstr>
      <vt:lpstr>04_平台必填对照</vt:lpstr>
      <vt:lpstr>05_平台字段明细</vt:lpstr>
      <vt:lpstr>06_素材清单</vt:lpstr>
      <vt:lpstr>07_合规与话术</vt:lpstr>
      <vt:lpstr>08_发布进度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多平台商品上架字段总表（马洁填写版）</dc:title>
  <dc:creator>openpyxl</dc:creator>
  <cp:lastModifiedBy>翌</cp:lastModifiedBy>
  <cp:revision>0</cp:revision>
  <dcterms:created xsi:type="dcterms:W3CDTF">2026-10-27T16:22:00Z</dcterms:created>
  <dcterms:modified xsi:type="dcterms:W3CDTF">2026-10-27T20:28:28Z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{"Label":"1","ContentProducer":"00119111010856365494821B355","ProduceID":"82818e88bf0e4894a740273bbea0422b","ContentPropagator":"00119111010856365494821B355","PropagateID":"82818e88bf0e4894a740273bbea0422b"}</vt:lpwstr>
  </property>
  <property fmtid="{D5CDD505-2E9C-101B-9397-08002B2CF9AE}" pid="3" name="ICV">
    <vt:lpwstr>0D05DE116EA1D1CB8C93E06A49EF5452_42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